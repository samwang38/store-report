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a/Claude/週報製作/報表製作_士林/live-store-report-app/"/>
    </mc:Choice>
  </mc:AlternateContent>
  <xr:revisionPtr revIDLastSave="0" documentId="13_ncr:1_{078DEFC0-A48B-8542-A995-3FFD14A1FBBD}" xr6:coauthVersionLast="47" xr6:coauthVersionMax="47" xr10:uidLastSave="{00000000-0000-0000-0000-000000000000}"/>
  <bookViews>
    <workbookView xWindow="280" yWindow="680" windowWidth="28240" windowHeight="16740" firstSheet="3" activeTab="7" xr2:uid="{00000000-000D-0000-FFFF-FFFF00000000}"/>
  </bookViews>
  <sheets>
    <sheet name="設定" sheetId="1" r:id="rId1"/>
    <sheet name="1.主機銷售台數" sheetId="2" r:id="rId2"/>
    <sheet name="2.門市週報 " sheetId="3" r:id="rId3"/>
    <sheet name="3.3PP配件比較" sheetId="4" r:id="rId4"/>
    <sheet name="4.3PP 銷售排名" sheetId="5" r:id="rId5"/>
    <sheet name="5.VAP銷售排名" sheetId="6" r:id="rId6"/>
    <sheet name="6.搭售統計_週" sheetId="13" r:id="rId7"/>
    <sheet name="7.搭售統計_月" sheetId="14" r:id="rId8"/>
    <sheet name="8.個人新制獎金" sheetId="7" r:id="rId9"/>
    <sheet name="9.個人週主機" sheetId="8" r:id="rId10"/>
    <sheet name="10.個人月主機" sheetId="9" r:id="rId11"/>
    <sheet name="11.個人月3PP" sheetId="10" r:id="rId12"/>
    <sheet name="12.月報YOY" sheetId="11" r:id="rId13"/>
    <sheet name="13.3PP YOY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7" l="1"/>
  <c r="K9" i="7" s="1"/>
  <c r="G9" i="7"/>
  <c r="F9" i="7"/>
  <c r="J8" i="7"/>
  <c r="K8" i="7" s="1"/>
  <c r="G8" i="7"/>
  <c r="F8" i="7"/>
  <c r="J7" i="7"/>
  <c r="K7" i="7" s="1"/>
  <c r="G7" i="7"/>
  <c r="F7" i="7"/>
  <c r="J6" i="7"/>
  <c r="K6" i="7" s="1"/>
  <c r="G6" i="7"/>
  <c r="F6" i="7"/>
  <c r="J5" i="7"/>
  <c r="K5" i="7" s="1"/>
  <c r="G5" i="7"/>
  <c r="F5" i="7"/>
  <c r="J4" i="7"/>
  <c r="K4" i="7" s="1"/>
  <c r="G4" i="7"/>
  <c r="F4" i="7"/>
  <c r="J3" i="7"/>
  <c r="K3" i="7" s="1"/>
  <c r="G3" i="7"/>
  <c r="F3" i="7"/>
  <c r="J2" i="7"/>
  <c r="K2" i="7" s="1"/>
  <c r="G2" i="7"/>
  <c r="F2" i="7"/>
</calcChain>
</file>

<file path=xl/sharedStrings.xml><?xml version="1.0" encoding="utf-8"?>
<sst xmlns="http://schemas.openxmlformats.org/spreadsheetml/2006/main" count="454" uniqueCount="256">
  <si>
    <t>員工代碼</t>
  </si>
  <si>
    <t>顯示名稱</t>
  </si>
  <si>
    <t>年度起始日</t>
  </si>
  <si>
    <t>SA1092</t>
  </si>
  <si>
    <t>Sam</t>
  </si>
  <si>
    <t>SA1614</t>
  </si>
  <si>
    <t>Dean</t>
  </si>
  <si>
    <t>SA1893</t>
  </si>
  <si>
    <t>Jun</t>
  </si>
  <si>
    <t>SA2765</t>
  </si>
  <si>
    <t>Nana</t>
  </si>
  <si>
    <t>SA3011</t>
  </si>
  <si>
    <t>Zoe</t>
  </si>
  <si>
    <t>SA3154</t>
  </si>
  <si>
    <t>Winter</t>
  </si>
  <si>
    <t>SA3221</t>
  </si>
  <si>
    <t>Tanya</t>
  </si>
  <si>
    <t>※ 修改此表後重新執行腳本即可，無需更動 Python 程式</t>
  </si>
  <si>
    <t>Class Name</t>
  </si>
  <si>
    <t>W13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</si>
  <si>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</si>
  <si>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</si>
  <si>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</si>
  <si>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</si>
  <si>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</si>
  <si>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</si>
  <si>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</si>
  <si>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</si>
  <si>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</si>
  <si>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</si>
  <si>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</si>
  <si>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</si>
  <si>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Total</t>
  </si>
  <si>
    <t>iMac</t>
  </si>
  <si>
    <t>Mac mini</t>
  </si>
  <si>
    <t>Macbook Pro 14吋</t>
  </si>
  <si>
    <t>Macbook Pro 16吋</t>
  </si>
  <si>
    <t>Macbook Air 13吋</t>
  </si>
  <si>
    <t>Macbook Air 15吋</t>
  </si>
  <si>
    <t>Macbook Neo</t>
  </si>
  <si>
    <t>CPU 合計</t>
  </si>
  <si>
    <t>AirPods Pro 3</t>
  </si>
  <si>
    <t>AirPods 4 主動降噪</t>
  </si>
  <si>
    <t>AirPdos 4</t>
  </si>
  <si>
    <t>AirPods Max</t>
  </si>
  <si>
    <t>HomePod MIni</t>
  </si>
  <si>
    <t>HomePod</t>
  </si>
  <si>
    <t>音頻合計</t>
  </si>
  <si>
    <t>AppleWatch S11</t>
  </si>
  <si>
    <t>AppleWatch Ultra 3</t>
  </si>
  <si>
    <t>AppleWatch SE3</t>
  </si>
  <si>
    <t>AppleWatch 合計</t>
  </si>
  <si>
    <t>iPhone 17</t>
  </si>
  <si>
    <t>iPhone Air</t>
  </si>
  <si>
    <t>iPhone 17 Pro</t>
  </si>
  <si>
    <t>iPhone 17 Pro Max</t>
  </si>
  <si>
    <t>iPhone 17e</t>
  </si>
  <si>
    <t>iPhone 合計</t>
  </si>
  <si>
    <t>iPad A16</t>
  </si>
  <si>
    <t>iPad Air 11</t>
  </si>
  <si>
    <t>iPad Air 13</t>
  </si>
  <si>
    <t>iPad Pro 11 M5</t>
  </si>
  <si>
    <t>iPad Pro 13 M5</t>
  </si>
  <si>
    <t>iPad mini</t>
  </si>
  <si>
    <t>iPad 合計</t>
  </si>
  <si>
    <t>Apple Pencil 第一代</t>
  </si>
  <si>
    <t>Apple Pencil 第二代</t>
  </si>
  <si>
    <t>Apple Pencil (USB-C)</t>
  </si>
  <si>
    <t>Apple Pencil Pro</t>
  </si>
  <si>
    <t>Apple Pencil 合計</t>
  </si>
  <si>
    <t>上週</t>
  </si>
  <si>
    <t>本週</t>
  </si>
  <si>
    <t>週差異</t>
  </si>
  <si>
    <t>週差異％</t>
  </si>
  <si>
    <t>本月達成</t>
  </si>
  <si>
    <t>本月目標</t>
  </si>
  <si>
    <t>達成率</t>
  </si>
  <si>
    <t>上月同期</t>
  </si>
  <si>
    <t>上月同期差異</t>
  </si>
  <si>
    <t>上月同期差異%</t>
  </si>
  <si>
    <t>去年同期</t>
  </si>
  <si>
    <t>去年同期差異</t>
  </si>
  <si>
    <t>去年同期差異%</t>
  </si>
  <si>
    <t>總營業額</t>
  </si>
  <si>
    <t>零售營業額</t>
  </si>
  <si>
    <t>專案營業額</t>
  </si>
  <si>
    <t>-</t>
  </si>
  <si>
    <t>Apple 主機營業額</t>
  </si>
  <si>
    <t>Apple 配件營業額</t>
  </si>
  <si>
    <t>3PP配件營業額</t>
  </si>
  <si>
    <t>3PP搭售率</t>
  </si>
  <si>
    <t>SA Care 營業額</t>
  </si>
  <si>
    <t>SA Care 搭售率</t>
  </si>
  <si>
    <t>總毛利額</t>
  </si>
  <si>
    <t>Apple 毛利額</t>
  </si>
  <si>
    <t>3PP 毛利額</t>
  </si>
  <si>
    <t>SA Care 毛利額</t>
  </si>
  <si>
    <t>CPU 台數（不含Mac mini）</t>
  </si>
  <si>
    <t>Mac mini 台數</t>
  </si>
  <si>
    <t>CPU 總台數</t>
  </si>
  <si>
    <t>ACPP-MAC 套數</t>
  </si>
  <si>
    <t>ACPP-MAC 搭售率</t>
  </si>
  <si>
    <t>SA Care for CPU 套數</t>
  </si>
  <si>
    <t>SA Care for CPU 搭售率</t>
  </si>
  <si>
    <t>iPad 台數</t>
  </si>
  <si>
    <t>SA Care for iPad 套數</t>
  </si>
  <si>
    <t>SA Care for iPad 搭售率</t>
  </si>
  <si>
    <t>iPhone 台數</t>
  </si>
  <si>
    <t>SA Care for iPhone 套數</t>
  </si>
  <si>
    <t>SA Care for iPhone 搭售率</t>
  </si>
  <si>
    <t>Watch 台數</t>
  </si>
  <si>
    <t>SA Care for Watch 套數</t>
  </si>
  <si>
    <t>SA Care for Watch 搭售率</t>
  </si>
  <si>
    <t>人均產值</t>
  </si>
  <si>
    <t>來客數</t>
  </si>
  <si>
    <t>成交筆數</t>
  </si>
  <si>
    <t>提袋率</t>
  </si>
  <si>
    <t>類別4代碼</t>
  </si>
  <si>
    <t>類別4名稱</t>
  </si>
  <si>
    <t>差異金額</t>
  </si>
  <si>
    <t>差異比例</t>
  </si>
  <si>
    <t>本月累積</t>
  </si>
  <si>
    <t>CPU 週邊配件</t>
  </si>
  <si>
    <t>iPhone 週邊配件</t>
  </si>
  <si>
    <t>iPad 週邊配件</t>
  </si>
  <si>
    <t>CPU/iOS通用 週邊配件</t>
  </si>
  <si>
    <t>Speakers</t>
  </si>
  <si>
    <t>耳機</t>
  </si>
  <si>
    <t>其他週邊配件</t>
  </si>
  <si>
    <t>其他收入</t>
  </si>
  <si>
    <t>iOS通用週邊配件</t>
  </si>
  <si>
    <t>SmartA週邊產品</t>
  </si>
  <si>
    <t>Apple Watch 週邊配件</t>
  </si>
  <si>
    <t>上網卡</t>
  </si>
  <si>
    <t>家居生活</t>
  </si>
  <si>
    <t>AirPods週邊配件</t>
  </si>
  <si>
    <t>SA CARE</t>
  </si>
  <si>
    <t>加總</t>
  </si>
  <si>
    <t>純配件</t>
  </si>
  <si>
    <t>排名</t>
  </si>
  <si>
    <t>存貨代碼</t>
  </si>
  <si>
    <t>品名</t>
  </si>
  <si>
    <t>週銷累計 數量</t>
  </si>
  <si>
    <t>月銷累計 數量</t>
  </si>
  <si>
    <t>金額</t>
  </si>
  <si>
    <t>26200953</t>
  </si>
  <si>
    <t>Moshi Integra™ USB-C to USB-C (240W/480Mbps 1.2m) 充電線/傳輸編織線-灰</t>
  </si>
  <si>
    <t>54600001</t>
  </si>
  <si>
    <t>Riivan x STUDIO A 聯名款 磁吸藍牙iPad觸控筆</t>
  </si>
  <si>
    <t>50900202</t>
  </si>
  <si>
    <t>美國PureGear普格爾 iPhone 17 Pro Pure Box 鏡頭框一體式保護膜 - 透明</t>
  </si>
  <si>
    <t>51600005</t>
  </si>
  <si>
    <t>美國PureGear普格爾 Apple Watch 46mm-完美酷膜 手錶貼修復膜</t>
  </si>
  <si>
    <t>26200615</t>
  </si>
  <si>
    <t>moshi Integra強韌系列USB-C to Lightning 耐用充電／傳輸編織線1.2m鈦灰</t>
  </si>
  <si>
    <t>27700483</t>
  </si>
  <si>
    <t>PQI qCable USB-C to C 3A 100cm 編織線-銀</t>
  </si>
  <si>
    <t>27700595</t>
  </si>
  <si>
    <t>PQI PDC35W 充電器(1A1C)</t>
  </si>
  <si>
    <t>53600017</t>
  </si>
  <si>
    <t>Belkin BoostCharge Pro 45W PPS單孔Type C旅充</t>
  </si>
  <si>
    <t>45300807</t>
  </si>
  <si>
    <t>CHANGEi iPhone 17 Pro/Pro Max AR98航太極透鏡頭-橘</t>
  </si>
  <si>
    <t>49300171</t>
  </si>
  <si>
    <t>eiP Magnetix 2 可拆式鍵盤2代  (適用於iPad Air4.5.6.7 11吋/Pro11吋 1st-4th) 黑色</t>
  </si>
  <si>
    <t>27700683</t>
  </si>
  <si>
    <t>PQI iCable USB-A to Lightning 100cm 充電線-黑(TPE)</t>
  </si>
  <si>
    <t>5902002</t>
  </si>
  <si>
    <t>pqi iPhone 17 Pro 康寧鋼化玻璃保護貼 2.5D</t>
  </si>
  <si>
    <t>5901984</t>
  </si>
  <si>
    <t>pqi-45W GaN氮化镓(2C)充電器MC32-白色</t>
  </si>
  <si>
    <t>22400301</t>
  </si>
  <si>
    <t>維修專用-裸裝滿版玻璃保貼iPhone 14 Pro Max</t>
  </si>
  <si>
    <t>5901995</t>
  </si>
  <si>
    <t>pqi AirPods Pro 3 皮革保護殼 - 黑色</t>
  </si>
  <si>
    <t>46200219</t>
  </si>
  <si>
    <t>pqi iPad (A16) 11吋 玻璃保護貼</t>
  </si>
  <si>
    <t>5902003</t>
  </si>
  <si>
    <t>pqi iPhone 17 Pro Max 康寧鋼化玻璃保護貼 2.5D</t>
  </si>
  <si>
    <t>46200232</t>
  </si>
  <si>
    <t>pqi iPhone 17 Pro / Pro Max 鏡頭貼 深藍</t>
  </si>
  <si>
    <t>46200123</t>
  </si>
  <si>
    <t>VAP-iPad mini 8.3吋 (6/A17 Pro) 玻璃保護貼</t>
  </si>
  <si>
    <t>46200168</t>
  </si>
  <si>
    <t>VAP-MacBook Pro 14吋亮面保護貼</t>
  </si>
  <si>
    <t>46200211</t>
  </si>
  <si>
    <t>@VAP iPhone 16e 玻璃保護貼</t>
  </si>
  <si>
    <t>46200217</t>
  </si>
  <si>
    <t>@pqi-iPad Air 11吋 (M3/M4)-玻璃保護貼</t>
  </si>
  <si>
    <t>46200229</t>
  </si>
  <si>
    <t>pqi iPhone 17 Pro / Pro Max 鏡頭貼 銀</t>
  </si>
  <si>
    <t>姓名</t>
  </si>
  <si>
    <t>營業額 (不含SA Care)</t>
  </si>
  <si>
    <t>3PP 營業額 (不含SA Care)</t>
  </si>
  <si>
    <t>原廠商品 營業額</t>
  </si>
  <si>
    <t>SA Care 金額(含稅)</t>
  </si>
  <si>
    <t>純SA Care 搭售率</t>
  </si>
  <si>
    <t>純3PP 搭售率</t>
  </si>
  <si>
    <t>原廠商品 毛利額</t>
  </si>
  <si>
    <t>3pp商品 毛利額</t>
  </si>
  <si>
    <t>SA Care 毛利額</t>
  </si>
  <si>
    <t>毛利目標</t>
  </si>
  <si>
    <t>累計獎金</t>
  </si>
  <si>
    <t>CPU</t>
  </si>
  <si>
    <t>Mac ACPP+</t>
  </si>
  <si>
    <t>Mac
SACare</t>
  </si>
  <si>
    <t>搭售率</t>
  </si>
  <si>
    <t>iPad</t>
  </si>
  <si>
    <t>iPad ACPP+</t>
  </si>
  <si>
    <t>iPad SACare</t>
  </si>
  <si>
    <t>iPhone</t>
  </si>
  <si>
    <t>iPhone
ACPP+</t>
  </si>
  <si>
    <t>iPhone SACare</t>
  </si>
  <si>
    <t>iOS 搭售率</t>
  </si>
  <si>
    <t>Watch</t>
  </si>
  <si>
    <t>Watch ACPP+</t>
  </si>
  <si>
    <t>Watch SACare</t>
  </si>
  <si>
    <t>AirPods</t>
  </si>
  <si>
    <t>AirPods ACPP+</t>
  </si>
  <si>
    <t>AirPods SACare</t>
  </si>
  <si>
    <t>Mac SACare</t>
  </si>
  <si>
    <t>CPU 配件金額</t>
  </si>
  <si>
    <t>iPhone配件 金額</t>
  </si>
  <si>
    <t>iPad配件金額</t>
  </si>
  <si>
    <t>CPU/iOS通用週邊金額</t>
  </si>
  <si>
    <t>iOS通用週邊配件金額</t>
  </si>
  <si>
    <t>Watch 配件金額</t>
  </si>
  <si>
    <t>AirPods 配件金額</t>
  </si>
  <si>
    <t>VAP 金額</t>
  </si>
  <si>
    <t>Office數量</t>
  </si>
  <si>
    <t>去年同期累積</t>
  </si>
  <si>
    <t>今年累積</t>
  </si>
  <si>
    <t>年差異</t>
  </si>
  <si>
    <t>去年度累積</t>
  </si>
  <si>
    <t>今年度累積</t>
  </si>
  <si>
    <t>CPU週邊配件</t>
  </si>
  <si>
    <t>iPhone週邊配件</t>
  </si>
  <si>
    <t>iPad週邊配件</t>
  </si>
  <si>
    <t>CPU/iOS通用週邊配件</t>
  </si>
  <si>
    <t>生活用品</t>
  </si>
  <si>
    <t>士林</t>
  </si>
  <si>
    <t>配件</t>
  </si>
  <si>
    <t>W8</t>
  </si>
  <si>
    <t>W7</t>
  </si>
  <si>
    <t>Ｗ9</t>
  </si>
  <si>
    <t>零搭售比例</t>
    <phoneticPr fontId="1" type="noConversion"/>
  </si>
  <si>
    <t>CPU
零搭售</t>
    <phoneticPr fontId="1" type="noConversion"/>
  </si>
  <si>
    <t>零搭售
比例</t>
    <phoneticPr fontId="1" type="noConversion"/>
  </si>
  <si>
    <t>iPhone
零搭售</t>
    <phoneticPr fontId="1" type="noConversion"/>
  </si>
  <si>
    <t>iPad
零搭售</t>
    <phoneticPr fontId="1" type="noConversion"/>
  </si>
  <si>
    <t>Watch
零搭售</t>
    <phoneticPr fontId="1" type="noConversion"/>
  </si>
  <si>
    <t>AirPods
零搭售</t>
    <phoneticPr fontId="1" type="noConversion"/>
  </si>
  <si>
    <t>3PP
搭售率</t>
    <phoneticPr fontId="1" type="noConversion"/>
  </si>
  <si>
    <t>5月</t>
  </si>
  <si>
    <t>4月</t>
  </si>
  <si>
    <t>3月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</si>
</sst>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6" formatCode="0_);[Red]\(0\)"/>
    <numFmt numFmtId="177" formatCode="0.0%"/>
    <numFmt numFmtId="178" formatCode="_(* #,##0_);_(* \(#,##0\);_(* &quot;-&quot;??_);_(@_)"/>
    <numFmt numFmtId="179" formatCode="yyyy\-mm\-dd"/>
  </numFmts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name val="Arial"/>
      <family val="2"/>
    </font>
    <font>
      <sz val="18"/>
      <color rgb="FF000000"/>
      <name val="Arial"/>
      <family val="2"/>
    </font>
    <font>
      <sz val="15"/>
      <color rgb="FF000000"/>
      <name val="Arial"/>
      <family val="2"/>
    </font>
    <font>
      <sz val="20"/>
      <color rgb="FF000000"/>
      <name val="Arial"/>
      <family val="2"/>
    </font>
    <font>
      <sz val="12"/>
      <color rgb="FFFFFFFF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4"/>
      <color rgb="FF000000"/>
      <name val="Arial"/>
      <family val="2"/>
    </font>
    <font>
      <sz val="14"/>
      <color rgb="FF000000"/>
      <name val="Microsoft JhengHei"/>
      <family val="2"/>
      <charset val="136"/>
    </font>
    <font>
      <sz val="14"/>
      <name val="Arial"/>
      <family val="2"/>
    </font>
    <font>
      <sz val="11"/>
      <color rgb="FF000000"/>
      <name val="Arial"/>
      <family val="2"/>
    </font>
    <font>
      <sz val="14"/>
      <color rgb="FFFFFFFF"/>
      <name val="Helvetica-Light"/>
    </font>
    <font>
      <b/>
      <sz val="14"/>
      <color rgb="FF0332FF"/>
      <name val="PingFangTC-Regular"/>
      <family val="1"/>
    </font>
    <font>
      <sz val="14"/>
      <color rgb="FF000000"/>
      <name val="HelveticaNeue"/>
    </font>
    <font>
      <b/>
      <sz val="14"/>
      <color rgb="FF000000"/>
      <name val="Arial"/>
      <family val="2"/>
    </font>
    <font>
      <b/>
      <sz val="14"/>
      <color rgb="FF0332FF"/>
      <name val="Arial"/>
      <family val="2"/>
    </font>
    <font>
      <b/>
      <sz val="12"/>
      <color rgb="FFFFFFFF"/>
      <name val="新細明體"/>
      <family val="1"/>
      <charset val="136"/>
    </font>
    <font>
      <i/>
      <sz val="12"/>
      <color rgb="FF808080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4"/>
      <color theme="1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264C0"/>
        <bgColor indexed="64"/>
      </patternFill>
    </fill>
    <fill>
      <patternFill patternType="solid">
        <fgColor rgb="FF51A7F9"/>
        <bgColor indexed="64"/>
      </patternFill>
    </fill>
    <fill>
      <patternFill patternType="solid">
        <fgColor rgb="FF55C1FF"/>
        <bgColor indexed="64"/>
      </patternFill>
    </fill>
    <fill>
      <patternFill patternType="solid">
        <fgColor rgb="FFFF968D"/>
        <bgColor indexed="64"/>
      </patternFill>
    </fill>
    <fill>
      <patternFill patternType="solid">
        <fgColor rgb="FFFFD931"/>
        <bgColor indexed="64"/>
      </patternFill>
    </fill>
    <fill>
      <patternFill patternType="solid">
        <fgColor rgb="FF00AB8E"/>
        <bgColor indexed="64"/>
      </patternFill>
    </fill>
    <fill>
      <patternFill patternType="solid">
        <fgColor rgb="FFF38F18"/>
        <bgColor indexed="64"/>
      </patternFill>
    </fill>
    <fill>
      <patternFill patternType="solid">
        <fgColor rgb="FFA2D5FB"/>
        <bgColor indexed="64"/>
      </patternFill>
    </fill>
    <fill>
      <patternFill patternType="solid">
        <fgColor rgb="FFFFD478"/>
        <bgColor indexed="64"/>
      </patternFill>
    </fill>
    <fill>
      <patternFill patternType="solid">
        <fgColor rgb="FFEDD2D2"/>
        <bgColor indexed="64"/>
      </patternFill>
    </fill>
    <fill>
      <patternFill patternType="solid">
        <fgColor rgb="FFD5D5D5"/>
        <bgColor indexed="64"/>
      </patternFill>
    </fill>
    <fill>
      <patternFill patternType="solid">
        <fgColor rgb="FF00A1FF"/>
        <bgColor indexed="64"/>
      </patternFill>
    </fill>
    <fill>
      <patternFill patternType="solid">
        <fgColor rgb="FFDCDEE0"/>
        <bgColor indexed="64"/>
      </patternFill>
    </fill>
    <fill>
      <patternFill patternType="solid">
        <fgColor rgb="FF6FBF40"/>
        <bgColor indexed="64"/>
      </patternFill>
    </fill>
    <fill>
      <patternFill patternType="solid">
        <fgColor rgb="FFF5D327"/>
        <bgColor indexed="64"/>
      </patternFill>
    </fill>
    <fill>
      <patternFill patternType="solid">
        <fgColor rgb="FFA2C173"/>
        <bgColor indexed="64"/>
      </patternFill>
    </fill>
    <fill>
      <patternFill patternType="solid">
        <fgColor rgb="FF4472C4"/>
      </patternFill>
    </fill>
    <fill>
      <patternFill patternType="solid">
        <fgColor rgb="FFFFA38D"/>
        <bgColor indexed="64"/>
      </patternFill>
    </fill>
    <fill>
      <patternFill patternType="solid">
        <fgColor rgb="FFF28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20" fillId="0" borderId="0">
      <alignment vertical="center"/>
    </xf>
  </cellStyleXfs>
  <cellXfs count="109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 wrapText="1" readingOrder="1"/>
    </xf>
    <xf numFmtId="9" fontId="3" fillId="0" borderId="1" xfId="0" applyNumberFormat="1" applyFont="1" applyBorder="1" applyAlignment="1">
      <alignment horizontal="left" vertical="center" wrapText="1" readingOrder="1"/>
    </xf>
    <xf numFmtId="9" fontId="3" fillId="12" borderId="1" xfId="0" applyNumberFormat="1" applyFont="1" applyFill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3" fontId="3" fillId="0" borderId="1" xfId="0" applyNumberFormat="1" applyFont="1" applyBorder="1" applyAlignment="1">
      <alignment horizontal="left" vertical="center" wrapText="1" readingOrder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 readingOrder="1"/>
    </xf>
    <xf numFmtId="3" fontId="3" fillId="12" borderId="1" xfId="0" applyNumberFormat="1" applyFont="1" applyFill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5" fillId="13" borderId="1" xfId="0" applyFont="1" applyFill="1" applyBorder="1" applyAlignment="1">
      <alignment horizontal="center" vertical="center" wrapText="1" readingOrder="1"/>
    </xf>
    <xf numFmtId="0" fontId="5" fillId="6" borderId="1" xfId="0" applyFont="1" applyFill="1" applyBorder="1" applyAlignment="1">
      <alignment horizontal="center" vertical="center" wrapText="1" readingOrder="1"/>
    </xf>
    <xf numFmtId="0" fontId="5" fillId="7" borderId="1" xfId="0" applyFont="1" applyFill="1" applyBorder="1" applyAlignment="1">
      <alignment horizontal="center" vertical="center" wrapText="1" readingOrder="1"/>
    </xf>
    <xf numFmtId="0" fontId="5" fillId="8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left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left" vertical="center" wrapText="1" readingOrder="1"/>
    </xf>
    <xf numFmtId="0" fontId="10" fillId="5" borderId="1" xfId="0" applyFont="1" applyFill="1" applyBorder="1" applyAlignment="1">
      <alignment horizontal="center" vertical="center" wrapText="1" readingOrder="1"/>
    </xf>
    <xf numFmtId="0" fontId="9" fillId="6" borderId="1" xfId="0" applyFont="1" applyFill="1" applyBorder="1" applyAlignment="1">
      <alignment horizontal="center" vertical="center" wrapText="1" readingOrder="1"/>
    </xf>
    <xf numFmtId="0" fontId="10" fillId="6" borderId="1" xfId="0" applyFont="1" applyFill="1" applyBorder="1" applyAlignment="1">
      <alignment horizontal="center" vertical="center" wrapText="1" readingOrder="1"/>
    </xf>
    <xf numFmtId="0" fontId="9" fillId="5" borderId="1" xfId="0" applyFont="1" applyFill="1" applyBorder="1" applyAlignment="1">
      <alignment horizontal="center" vertical="center" wrapText="1" readingOrder="1"/>
    </xf>
    <xf numFmtId="0" fontId="9" fillId="7" borderId="1" xfId="0" applyFont="1" applyFill="1" applyBorder="1" applyAlignment="1">
      <alignment horizontal="center" vertical="center" wrapText="1" readingOrder="1"/>
    </xf>
    <xf numFmtId="0" fontId="9" fillId="8" borderId="1" xfId="0" applyFont="1" applyFill="1" applyBorder="1" applyAlignment="1">
      <alignment horizontal="center" vertical="center" wrapText="1" readingOrder="1"/>
    </xf>
    <xf numFmtId="0" fontId="9" fillId="11" borderId="1" xfId="0" applyFont="1" applyFill="1" applyBorder="1" applyAlignment="1">
      <alignment horizontal="left" vertical="center" wrapText="1" readingOrder="1"/>
    </xf>
    <xf numFmtId="0" fontId="9" fillId="12" borderId="1" xfId="0" applyFont="1" applyFill="1" applyBorder="1" applyAlignment="1">
      <alignment horizontal="left" vertical="center" wrapText="1" readingOrder="1"/>
    </xf>
    <xf numFmtId="0" fontId="9" fillId="9" borderId="1" xfId="0" applyFont="1" applyFill="1" applyBorder="1" applyAlignment="1">
      <alignment horizontal="right" vertical="center" wrapText="1" readingOrder="1"/>
    </xf>
    <xf numFmtId="0" fontId="9" fillId="0" borderId="1" xfId="0" applyFont="1" applyBorder="1" applyAlignment="1">
      <alignment horizontal="right" vertical="center" wrapText="1" readingOrder="1"/>
    </xf>
    <xf numFmtId="9" fontId="9" fillId="0" borderId="1" xfId="0" applyNumberFormat="1" applyFont="1" applyBorder="1" applyAlignment="1">
      <alignment horizontal="right" vertical="center" wrapText="1" readingOrder="1"/>
    </xf>
    <xf numFmtId="0" fontId="11" fillId="0" borderId="1" xfId="0" applyFont="1" applyBorder="1" applyAlignment="1">
      <alignment horizontal="right" vertical="center" wrapText="1"/>
    </xf>
    <xf numFmtId="10" fontId="9" fillId="11" borderId="1" xfId="0" applyNumberFormat="1" applyFont="1" applyFill="1" applyBorder="1" applyAlignment="1">
      <alignment horizontal="right" vertical="center" wrapText="1" readingOrder="1"/>
    </xf>
    <xf numFmtId="9" fontId="9" fillId="11" borderId="1" xfId="0" applyNumberFormat="1" applyFont="1" applyFill="1" applyBorder="1" applyAlignment="1">
      <alignment horizontal="right" vertical="center" wrapText="1" readingOrder="1"/>
    </xf>
    <xf numFmtId="0" fontId="11" fillId="9" borderId="1" xfId="0" applyFont="1" applyFill="1" applyBorder="1" applyAlignment="1">
      <alignment horizontal="right" vertical="center" wrapText="1"/>
    </xf>
    <xf numFmtId="0" fontId="11" fillId="11" borderId="1" xfId="0" applyFont="1" applyFill="1" applyBorder="1" applyAlignment="1">
      <alignment horizontal="right" vertical="center" wrapText="1"/>
    </xf>
    <xf numFmtId="9" fontId="9" fillId="12" borderId="1" xfId="0" applyNumberFormat="1" applyFont="1" applyFill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wrapText="1" readingOrder="1"/>
    </xf>
    <xf numFmtId="0" fontId="9" fillId="12" borderId="1" xfId="0" applyFont="1" applyFill="1" applyBorder="1" applyAlignment="1">
      <alignment horizontal="center" vertical="center" wrapText="1" readingOrder="1"/>
    </xf>
    <xf numFmtId="0" fontId="16" fillId="14" borderId="1" xfId="0" applyFont="1" applyFill="1" applyBorder="1" applyAlignment="1">
      <alignment horizontal="center" vertical="center" wrapText="1" readingOrder="1"/>
    </xf>
    <xf numFmtId="0" fontId="16" fillId="15" borderId="1" xfId="0" applyFont="1" applyFill="1" applyBorder="1" applyAlignment="1">
      <alignment horizontal="center" vertical="center" wrapText="1" readingOrder="1"/>
    </xf>
    <xf numFmtId="0" fontId="16" fillId="16" borderId="1" xfId="0" applyFont="1" applyFill="1" applyBorder="1" applyAlignment="1">
      <alignment horizontal="center" vertical="center" wrapText="1" readingOrder="1"/>
    </xf>
    <xf numFmtId="0" fontId="17" fillId="16" borderId="1" xfId="0" applyFont="1" applyFill="1" applyBorder="1" applyAlignment="1">
      <alignment horizontal="center" vertical="center" wrapText="1" readingOrder="1"/>
    </xf>
    <xf numFmtId="0" fontId="16" fillId="8" borderId="1" xfId="0" applyFont="1" applyFill="1" applyBorder="1" applyAlignment="1">
      <alignment horizontal="center" vertical="center" wrapText="1" readingOrder="1"/>
    </xf>
    <xf numFmtId="10" fontId="9" fillId="12" borderId="1" xfId="0" applyNumberFormat="1" applyFont="1" applyFill="1" applyBorder="1" applyAlignment="1">
      <alignment horizontal="left" vertical="center" wrapText="1" readingOrder="1"/>
    </xf>
    <xf numFmtId="11" fontId="9" fillId="12" borderId="1" xfId="0" applyNumberFormat="1" applyFont="1" applyFill="1" applyBorder="1" applyAlignment="1">
      <alignment horizontal="left" vertical="center" wrapText="1" readingOrder="1"/>
    </xf>
    <xf numFmtId="0" fontId="16" fillId="12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9" fontId="9" fillId="12" borderId="1" xfId="0" applyNumberFormat="1" applyFont="1" applyFill="1" applyBorder="1" applyAlignment="1">
      <alignment horizontal="center" vertical="center" wrapText="1" readingOrder="1"/>
    </xf>
    <xf numFmtId="0" fontId="12" fillId="6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9" fillId="4" borderId="1" xfId="0" applyFont="1" applyFill="1" applyBorder="1" applyAlignment="1">
      <alignment horizontal="center" vertical="center" wrapText="1" readingOrder="1"/>
    </xf>
    <xf numFmtId="176" fontId="9" fillId="0" borderId="1" xfId="0" applyNumberFormat="1" applyFont="1" applyBorder="1" applyAlignment="1">
      <alignment horizontal="center" vertical="center" wrapText="1" readingOrder="1"/>
    </xf>
    <xf numFmtId="176" fontId="9" fillId="12" borderId="1" xfId="0" applyNumberFormat="1" applyFont="1" applyFill="1" applyBorder="1" applyAlignment="1">
      <alignment horizontal="center" vertical="center" wrapText="1" readingOrder="1"/>
    </xf>
    <xf numFmtId="0" fontId="0" fillId="0" borderId="0" xfId="0" applyAlignment="1"/>
    <xf numFmtId="0" fontId="18" fillId="18" borderId="0" xfId="0" applyFont="1" applyFill="1" applyAlignment="1">
      <alignment horizontal="center"/>
    </xf>
    <xf numFmtId="177" fontId="9" fillId="12" borderId="1" xfId="0" applyNumberFormat="1" applyFont="1" applyFill="1" applyBorder="1" applyAlignment="1">
      <alignment horizontal="left" vertical="center" wrapText="1" readingOrder="1"/>
    </xf>
    <xf numFmtId="1" fontId="9" fillId="12" borderId="1" xfId="0" applyNumberFormat="1" applyFont="1" applyFill="1" applyBorder="1" applyAlignment="1">
      <alignment horizontal="left" vertical="center" wrapText="1" readingOrder="1"/>
    </xf>
    <xf numFmtId="178" fontId="9" fillId="10" borderId="1" xfId="1" applyNumberFormat="1" applyFont="1" applyFill="1" applyBorder="1" applyAlignment="1">
      <alignment horizontal="right" vertical="center" wrapText="1" readingOrder="1"/>
    </xf>
    <xf numFmtId="179" fontId="0" fillId="0" borderId="0" xfId="0" applyNumberFormat="1" applyAlignment="1"/>
    <xf numFmtId="177" fontId="9" fillId="11" borderId="1" xfId="0" applyNumberFormat="1" applyFont="1" applyFill="1" applyBorder="1" applyAlignment="1">
      <alignment horizontal="right" vertical="center" wrapText="1" readingOrder="1"/>
    </xf>
    <xf numFmtId="177" fontId="11" fillId="11" borderId="1" xfId="0" applyNumberFormat="1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 readingOrder="1"/>
    </xf>
    <xf numFmtId="0" fontId="12" fillId="13" borderId="1" xfId="0" applyFont="1" applyFill="1" applyBorder="1" applyAlignment="1">
      <alignment horizontal="center" vertical="center" wrapText="1" readingOrder="1"/>
    </xf>
    <xf numFmtId="0" fontId="12" fillId="17" borderId="1" xfId="0" applyFont="1" applyFill="1" applyBorder="1" applyAlignment="1">
      <alignment horizontal="center" vertical="center" wrapText="1" readingOrder="1"/>
    </xf>
    <xf numFmtId="0" fontId="12" fillId="8" borderId="1" xfId="0" applyFont="1" applyFill="1" applyBorder="1" applyAlignment="1">
      <alignment horizontal="center" vertical="center" wrapText="1" readingOrder="1"/>
    </xf>
    <xf numFmtId="0" fontId="12" fillId="7" borderId="1" xfId="0" applyFont="1" applyFill="1" applyBorder="1" applyAlignment="1">
      <alignment horizontal="center" vertical="center" wrapText="1" readingOrder="1"/>
    </xf>
    <xf numFmtId="0" fontId="12" fillId="5" borderId="1" xfId="0" applyFont="1" applyFill="1" applyBorder="1" applyAlignment="1">
      <alignment horizontal="center" vertical="center" wrapText="1" readingOrder="1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3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3" fontId="0" fillId="0" borderId="0" xfId="0" applyNumberFormat="1">
      <alignment vertical="center"/>
    </xf>
    <xf numFmtId="10" fontId="0" fillId="0" borderId="7" xfId="0" applyNumberFormat="1" applyBorder="1">
      <alignment vertical="center"/>
    </xf>
    <xf numFmtId="0" fontId="0" fillId="0" borderId="7" xfId="0" applyBorder="1">
      <alignment vertical="center"/>
    </xf>
    <xf numFmtId="9" fontId="0" fillId="0" borderId="7" xfId="0" applyNumberFormat="1" applyBorder="1">
      <alignment vertical="center"/>
    </xf>
    <xf numFmtId="0" fontId="0" fillId="19" borderId="6" xfId="0" applyFill="1" applyBorder="1">
      <alignment vertical="center"/>
    </xf>
    <xf numFmtId="10" fontId="0" fillId="19" borderId="0" xfId="0" applyNumberFormat="1" applyFill="1">
      <alignment vertical="center"/>
    </xf>
    <xf numFmtId="9" fontId="0" fillId="19" borderId="7" xfId="0" applyNumberFormat="1" applyFill="1" applyBorder="1">
      <alignment vertical="center"/>
    </xf>
    <xf numFmtId="0" fontId="0" fillId="0" borderId="8" xfId="0" applyBorder="1">
      <alignment vertical="center"/>
    </xf>
    <xf numFmtId="9" fontId="0" fillId="0" borderId="9" xfId="0" applyNumberFormat="1" applyBorder="1">
      <alignment vertical="center"/>
    </xf>
    <xf numFmtId="10" fontId="0" fillId="19" borderId="7" xfId="0" applyNumberFormat="1" applyFill="1" applyBorder="1">
      <alignment vertical="center"/>
    </xf>
    <xf numFmtId="9" fontId="0" fillId="19" borderId="0" xfId="0" applyNumberFormat="1" applyFill="1">
      <alignment vertical="center"/>
    </xf>
    <xf numFmtId="0" fontId="0" fillId="20" borderId="4" xfId="0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1" fillId="19" borderId="1" xfId="0" applyFont="1" applyFill="1" applyBorder="1">
      <alignment vertical="center"/>
    </xf>
    <xf numFmtId="0" fontId="21" fillId="21" borderId="1" xfId="0" applyFont="1" applyFill="1" applyBorder="1">
      <alignment vertical="center"/>
    </xf>
    <xf numFmtId="3" fontId="21" fillId="0" borderId="1" xfId="0" applyNumberFormat="1" applyFont="1" applyBorder="1">
      <alignment vertical="center"/>
    </xf>
    <xf numFmtId="9" fontId="21" fillId="0" borderId="1" xfId="0" applyNumberFormat="1" applyFont="1" applyBorder="1">
      <alignment vertical="center"/>
    </xf>
    <xf numFmtId="0" fontId="21" fillId="22" borderId="1" xfId="0" applyFont="1" applyFill="1" applyBorder="1" applyAlignment="1">
      <alignment horizontal="center" vertical="center"/>
    </xf>
    <xf numFmtId="0" fontId="21" fillId="22" borderId="1" xfId="0" applyFont="1" applyFill="1" applyBorder="1">
      <alignment vertical="center"/>
    </xf>
    <xf numFmtId="3" fontId="21" fillId="22" borderId="1" xfId="0" applyNumberFormat="1" applyFont="1" applyFill="1" applyBorder="1">
      <alignment vertical="center"/>
    </xf>
    <xf numFmtId="9" fontId="21" fillId="22" borderId="1" xfId="0" applyNumberFormat="1" applyFont="1" applyFill="1" applyBorder="1">
      <alignment vertical="center"/>
    </xf>
    <xf numFmtId="10" fontId="21" fillId="22" borderId="1" xfId="0" applyNumberFormat="1" applyFont="1" applyFill="1" applyBorder="1">
      <alignment vertical="center"/>
    </xf>
    <xf numFmtId="3" fontId="9" fillId="9" borderId="1" xfId="0" applyNumberFormat="1" applyFont="1" applyFill="1" applyBorder="1" applyAlignment="1">
      <alignment horizontal="right" vertical="center" wrapText="1" readingOrder="1"/>
    </xf>
    <xf numFmtId="3" fontId="9" fillId="0" borderId="1" xfId="0" applyNumberFormat="1" applyFont="1" applyBorder="1" applyAlignment="1">
      <alignment horizontal="right" vertical="center" wrapText="1" readingOrder="1"/>
    </xf>
    <xf numFmtId="0" fontId="19" fillId="0" borderId="0" xfId="0" applyFont="1" applyAlignment="1"/>
    <xf numFmtId="0" fontId="0" fillId="0" borderId="0" xfId="0" applyAlignment="1"/>
    <xf numFmtId="0" fontId="0" fillId="21" borderId="5" xfId="0" applyFill="1" applyBorder="1" applyAlignment="1">
      <alignment horizontal="center" vertical="center"/>
    </xf>
    <xf numFmtId="0" fontId="0" fillId="0" borderId="5" xfId="0" applyBorder="1" applyAlignment="1"/>
    <xf numFmtId="0" fontId="22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20" sqref="D20"/>
    </sheetView>
  </sheetViews>
  <sheetFormatPr baseColWidth="10" defaultColWidth="8.83203125" defaultRowHeight="15"/>
  <cols>
    <col min="1" max="2" width="14" style="57" customWidth="1"/>
    <col min="4" max="4" width="14.1640625" style="57" customWidth="1"/>
  </cols>
  <sheetData>
    <row r="1" spans="1:4">
      <c r="A1" s="58" t="s">
        <v>0</v>
      </c>
      <c r="B1" s="58" t="s">
        <v>1</v>
      </c>
      <c r="D1" t="s">
        <v>2</v>
      </c>
    </row>
    <row r="2" spans="1:4">
      <c r="A2" t="s">
        <v>3</v>
      </c>
      <c r="B2" t="s">
        <v>4</v>
      </c>
      <c r="D2" s="62">
        <v>45928</v>
      </c>
    </row>
    <row r="3" spans="1:4">
      <c r="A3" t="s">
        <v>5</v>
      </c>
      <c r="B3" t="s">
        <v>6</v>
      </c>
    </row>
    <row r="4" spans="1:4">
      <c r="A4" t="s">
        <v>7</v>
      </c>
      <c r="B4" t="s">
        <v>8</v>
      </c>
    </row>
    <row r="5" spans="1:4">
      <c r="A5" t="s">
        <v>9</v>
      </c>
      <c r="B5" t="s">
        <v>10</v>
      </c>
    </row>
    <row r="6" spans="1:4">
      <c r="A6" t="s">
        <v>11</v>
      </c>
      <c r="B6" t="s">
        <v>12</v>
      </c>
    </row>
    <row r="7" spans="1:4">
      <c r="A7" t="s">
        <v>13</v>
      </c>
      <c r="B7" t="s">
        <v>14</v>
      </c>
    </row>
    <row r="8" spans="1:4">
      <c r="A8" t="s">
        <v>15</v>
      </c>
      <c r="B8" t="s">
        <v>16</v>
      </c>
    </row>
    <row r="10" spans="1:4">
      <c r="A10" s="102" t="s">
        <v>17</v>
      </c>
      <c r="B10" s="103"/>
    </row>
  </sheetData>
  <mergeCells count="1">
    <mergeCell ref="A10:B10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8"/>
  <sheetViews>
    <sheetView zoomScale="91" workbookViewId="0">
      <selection activeCell="R24" sqref="R24"/>
    </sheetView>
  </sheetViews>
  <sheetFormatPr baseColWidth="10" defaultRowHeight="15"/>
  <cols>
    <col min="1" max="1" width="31" style="57" bestFit="1" customWidth="1"/>
  </cols>
  <sheetData>
    <row r="1" spans="1:16" ht="17" customHeight="1">
      <c r="A1" s="15" t="s">
        <v>18</v>
      </c>
      <c r="B1" s="15" t="s">
        <v>19</v>
      </c>
      <c r="C1" s="15" t="s">
        <v>20</v>
      </c>
      <c r="D1" s="15" t="s">
        <v>21</v>
      </c>
      <c r="E1" s="15" t="s">
        <v>22</v>
      </c>
      <c r="F1" s="15" t="s">
        <v>23</v>
      </c>
      <c r="G1" s="15" t="s">
        <v>24</v>
      </c>
      <c r="H1" s="15" t="s">
        <v>25</v>
      </c>
      <c r="I1" s="15" t="s">
        <v>26</v>
      </c>
      <c r="J1" s="15" t="s">
        <v>27</v>
      </c>
      <c r="K1" s="15" t="s">
        <v>28</v>
      </c>
      <c r="L1" s="15" t="s">
        <v>29</v>
      </c>
      <c r="M1" s="15" t="s">
        <v>30</v>
      </c>
      <c r="N1" s="15" t="s">
        <v>31</v>
      </c>
      <c r="O1" s="15" t="s">
        <v>19</v>
      </c>
      <c r="P1" s="15" t="s">
        <v>32</v>
      </c>
    </row>
    <row r="2" spans="1:16" ht="17" customHeight="1">
      <c r="A2" s="16" t="s">
        <v>33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</row>
    <row r="3" spans="1:16" ht="17" customHeight="1">
      <c r="A3" s="16" t="s">
        <v>34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</row>
    <row r="4" spans="1:16" ht="17" customHeight="1">
      <c r="A4" s="16" t="s">
        <v>35</v>
      </c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1:16" ht="17" customHeight="1">
      <c r="A5" s="16" t="s">
        <v>36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6" ht="17" customHeight="1">
      <c r="A6" s="16" t="s">
        <v>37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 spans="1:16" ht="17" customHeight="1">
      <c r="A7" s="16" t="s">
        <v>38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</row>
    <row r="8" spans="1:16" ht="17" customHeight="1">
      <c r="A8" s="16" t="s">
        <v>39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</row>
    <row r="9" spans="1:16" ht="17" customHeight="1">
      <c r="A9" s="19" t="s">
        <v>40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 ht="17" customHeight="1">
      <c r="A10" s="16" t="s">
        <v>41</v>
      </c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</row>
    <row r="11" spans="1:16" ht="17" customHeight="1">
      <c r="A11" s="16" t="s">
        <v>42</v>
      </c>
      <c r="B11" s="16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8"/>
    </row>
    <row r="12" spans="1:16" ht="17" customHeight="1">
      <c r="A12" s="16" t="s">
        <v>43</v>
      </c>
      <c r="B12" s="16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/>
    </row>
    <row r="13" spans="1:16" ht="17" customHeight="1">
      <c r="A13" s="16" t="s">
        <v>44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/>
    </row>
    <row r="14" spans="1:16" ht="17" customHeight="1">
      <c r="A14" s="16" t="s">
        <v>45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</row>
    <row r="15" spans="1:16" ht="17" customHeight="1">
      <c r="A15" s="16" t="s">
        <v>46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/>
    </row>
    <row r="16" spans="1:16" ht="17" customHeight="1">
      <c r="A16" s="19" t="s">
        <v>47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 ht="17" customHeight="1">
      <c r="A17" s="16" t="s">
        <v>48</v>
      </c>
      <c r="B17" s="16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8"/>
    </row>
    <row r="18" spans="1:16" ht="17" customHeight="1">
      <c r="A18" s="16" t="s">
        <v>49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8"/>
    </row>
    <row r="19" spans="1:16" ht="17" customHeight="1">
      <c r="A19" s="16" t="s">
        <v>50</v>
      </c>
      <c r="B19" s="16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8"/>
    </row>
    <row r="20" spans="1:16" ht="17" customHeight="1">
      <c r="A20" s="19" t="s">
        <v>51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ht="17" customHeight="1">
      <c r="A21" s="16" t="s">
        <v>52</v>
      </c>
      <c r="B21" s="16"/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8"/>
    </row>
    <row r="22" spans="1:16" ht="17" customHeight="1">
      <c r="A22" s="16" t="s">
        <v>53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8"/>
    </row>
    <row r="23" spans="1:16" ht="17" customHeight="1">
      <c r="A23" s="16" t="s">
        <v>54</v>
      </c>
      <c r="B23" s="16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8"/>
    </row>
    <row r="24" spans="1:16" ht="17" customHeight="1">
      <c r="A24" s="16" t="s">
        <v>55</v>
      </c>
      <c r="B24" s="16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8"/>
    </row>
    <row r="25" spans="1:16" ht="17" customHeight="1">
      <c r="A25" s="16" t="s">
        <v>56</v>
      </c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/>
    </row>
    <row r="26" spans="1:16" ht="17" customHeight="1">
      <c r="A26" s="19" t="s">
        <v>57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ht="17" customHeight="1">
      <c r="A27" s="16" t="s">
        <v>58</v>
      </c>
      <c r="B27" s="16"/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8"/>
    </row>
    <row r="28" spans="1:16" ht="17" customHeight="1">
      <c r="A28" s="16" t="s">
        <v>59</v>
      </c>
      <c r="B28" s="17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8"/>
    </row>
    <row r="29" spans="1:16" ht="17" customHeight="1">
      <c r="A29" s="16" t="s">
        <v>60</v>
      </c>
      <c r="B29" s="17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8"/>
    </row>
    <row r="30" spans="1:16" ht="17" customHeight="1">
      <c r="A30" s="16" t="s">
        <v>61</v>
      </c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8"/>
    </row>
    <row r="31" spans="1:16" ht="17" customHeight="1">
      <c r="A31" s="16" t="s">
        <v>62</v>
      </c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1:16" ht="17" customHeight="1">
      <c r="A32" s="16" t="s">
        <v>63</v>
      </c>
      <c r="B32" s="16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8"/>
    </row>
    <row r="33" spans="1:16" ht="17" customHeight="1">
      <c r="A33" s="19" t="s">
        <v>64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 ht="17" customHeight="1">
      <c r="A34" s="16" t="s">
        <v>65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8"/>
    </row>
    <row r="35" spans="1:16" ht="17" customHeight="1">
      <c r="A35" s="16" t="s">
        <v>66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8"/>
    </row>
    <row r="36" spans="1:16" ht="17" customHeight="1">
      <c r="A36" s="16" t="s">
        <v>67</v>
      </c>
      <c r="B36" s="16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8"/>
    </row>
    <row r="37" spans="1:16" ht="17" customHeight="1">
      <c r="A37" s="16" t="s">
        <v>68</v>
      </c>
      <c r="B37" s="16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8"/>
    </row>
    <row r="38" spans="1:16" ht="17" customHeight="1">
      <c r="A38" s="19" t="s">
        <v>69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4"/>
  <sheetViews>
    <sheetView topLeftCell="A2" zoomScale="49" zoomScaleNormal="75" workbookViewId="0">
      <selection activeCell="U11" sqref="U11"/>
    </sheetView>
  </sheetViews>
  <sheetFormatPr baseColWidth="10" defaultRowHeight="15"/>
  <cols>
    <col min="1" max="1" width="29.1640625" style="57" customWidth="1"/>
    <col min="2" max="6" width="17.33203125" style="57" customWidth="1"/>
    <col min="7" max="7" width="21" style="57" customWidth="1"/>
    <col min="8" max="9" width="17.33203125" style="57" customWidth="1"/>
    <col min="10" max="10" width="18.83203125" style="57" customWidth="1"/>
    <col min="11" max="12" width="17.33203125" style="57" customWidth="1"/>
    <col min="13" max="13" width="20.5" style="57" customWidth="1"/>
    <col min="14" max="14" width="17.33203125" style="57" customWidth="1"/>
    <col min="15" max="15" width="10.83203125" style="57" customWidth="1"/>
  </cols>
  <sheetData>
    <row r="1" spans="1:14" ht="50" customHeight="1">
      <c r="A1" s="20"/>
      <c r="B1" s="21" t="s">
        <v>70</v>
      </c>
      <c r="C1" s="21" t="s">
        <v>71</v>
      </c>
      <c r="D1" s="22" t="s">
        <v>72</v>
      </c>
      <c r="E1" s="23" t="s">
        <v>73</v>
      </c>
      <c r="F1" s="24" t="s">
        <v>74</v>
      </c>
      <c r="G1" s="25" t="s">
        <v>75</v>
      </c>
      <c r="H1" s="22" t="s">
        <v>76</v>
      </c>
      <c r="I1" s="26" t="s">
        <v>77</v>
      </c>
      <c r="J1" s="22" t="s">
        <v>78</v>
      </c>
      <c r="K1" s="23" t="s">
        <v>79</v>
      </c>
      <c r="L1" s="26" t="s">
        <v>80</v>
      </c>
      <c r="M1" s="23" t="s">
        <v>81</v>
      </c>
      <c r="N1" s="23" t="s">
        <v>82</v>
      </c>
    </row>
    <row r="2" spans="1:14" ht="34" customHeight="1">
      <c r="A2" s="20" t="s">
        <v>83</v>
      </c>
      <c r="B2" s="29">
        <v>1246331</v>
      </c>
      <c r="C2" s="29">
        <v>1683829</v>
      </c>
      <c r="D2" s="30">
        <v>-266354</v>
      </c>
      <c r="E2" s="31">
        <v>-0.11</v>
      </c>
      <c r="F2" s="29">
        <v>2930160</v>
      </c>
      <c r="G2" s="61"/>
      <c r="H2" s="31">
        <v>1.1000000000000001</v>
      </c>
      <c r="I2" s="29"/>
      <c r="J2" s="30">
        <v>-4764080</v>
      </c>
      <c r="K2" s="31">
        <v>-0.33</v>
      </c>
      <c r="L2" s="29">
        <v>2728236</v>
      </c>
      <c r="M2" s="30">
        <v>1696122</v>
      </c>
      <c r="N2" s="31">
        <v>0.21</v>
      </c>
    </row>
    <row r="3" spans="1:14" ht="34" customHeight="1">
      <c r="A3" s="20" t="s">
        <v>84</v>
      </c>
      <c r="B3" s="29">
        <v>1246331</v>
      </c>
      <c r="C3" s="29">
        <v>1683829</v>
      </c>
      <c r="D3" s="30">
        <v>-266354</v>
      </c>
      <c r="E3" s="31">
        <v>-0.11</v>
      </c>
      <c r="F3" s="29">
        <v>2930160</v>
      </c>
      <c r="G3" s="61"/>
      <c r="H3" s="31">
        <v>1.1000000000000001</v>
      </c>
      <c r="I3" s="29"/>
      <c r="J3" s="30">
        <v>-4764080</v>
      </c>
      <c r="K3" s="31">
        <v>-0.33</v>
      </c>
      <c r="L3" s="29">
        <v>2728236</v>
      </c>
      <c r="M3" s="30">
        <v>1696122</v>
      </c>
      <c r="N3" s="31">
        <v>0.21</v>
      </c>
    </row>
    <row r="4" spans="1:14" ht="34" customHeight="1">
      <c r="A4" s="20" t="s">
        <v>85</v>
      </c>
      <c r="B4" s="29"/>
      <c r="C4" s="29"/>
      <c r="D4" s="30" t="s">
        <v>86</v>
      </c>
      <c r="E4" s="32"/>
      <c r="F4" s="29"/>
      <c r="G4" s="61"/>
      <c r="H4" s="31">
        <v>0</v>
      </c>
      <c r="I4" s="29"/>
      <c r="J4" s="30" t="s">
        <v>86</v>
      </c>
      <c r="K4" s="32"/>
      <c r="L4" s="29"/>
      <c r="M4" s="30" t="s">
        <v>86</v>
      </c>
      <c r="N4" s="32"/>
    </row>
    <row r="5" spans="1:14" ht="34" customHeight="1">
      <c r="A5" s="20" t="s">
        <v>87</v>
      </c>
      <c r="B5" s="29">
        <v>1002000</v>
      </c>
      <c r="C5" s="29">
        <v>1230590</v>
      </c>
      <c r="D5" s="30">
        <v>-254958</v>
      </c>
      <c r="E5" s="31">
        <v>-0.14000000000000001</v>
      </c>
      <c r="F5" s="29">
        <v>2232590</v>
      </c>
      <c r="G5" s="61"/>
      <c r="H5" s="31">
        <v>1.1200000000000001</v>
      </c>
      <c r="I5" s="29"/>
      <c r="J5" s="30">
        <v>-4081504</v>
      </c>
      <c r="K5" s="31">
        <v>-0.36</v>
      </c>
      <c r="L5" s="29">
        <v>2085085</v>
      </c>
      <c r="M5" s="30">
        <v>1392318</v>
      </c>
      <c r="N5" s="31">
        <v>0.24</v>
      </c>
    </row>
    <row r="6" spans="1:14" ht="34" customHeight="1">
      <c r="A6" s="20" t="s">
        <v>88</v>
      </c>
      <c r="B6" s="29">
        <v>81630</v>
      </c>
      <c r="C6" s="29">
        <v>164871</v>
      </c>
      <c r="D6" s="30">
        <v>-17290</v>
      </c>
      <c r="E6" s="31">
        <v>-0.11</v>
      </c>
      <c r="F6" s="29">
        <v>246501</v>
      </c>
      <c r="G6" s="61"/>
      <c r="H6" s="31">
        <v>0.77</v>
      </c>
      <c r="I6" s="29"/>
      <c r="J6" s="30">
        <v>-397539</v>
      </c>
      <c r="K6" s="31">
        <v>-0.28999999999999998</v>
      </c>
      <c r="L6" s="29">
        <v>287551</v>
      </c>
      <c r="M6" s="30">
        <v>-125359</v>
      </c>
      <c r="N6" s="31">
        <v>-0.11</v>
      </c>
    </row>
    <row r="7" spans="1:14" ht="34" customHeight="1">
      <c r="A7" s="20" t="s">
        <v>89</v>
      </c>
      <c r="B7" s="29">
        <v>114151</v>
      </c>
      <c r="C7" s="29">
        <v>222248</v>
      </c>
      <c r="D7" s="30">
        <v>17294</v>
      </c>
      <c r="E7" s="31">
        <v>7.0000000000000007E-2</v>
      </c>
      <c r="F7" s="29">
        <v>336399</v>
      </c>
      <c r="G7" s="61"/>
      <c r="H7" s="31">
        <v>1.46</v>
      </c>
      <c r="I7" s="29"/>
      <c r="J7" s="30">
        <v>-32577</v>
      </c>
      <c r="K7" s="31">
        <v>-0.03</v>
      </c>
      <c r="L7" s="29">
        <v>202150</v>
      </c>
      <c r="M7" s="30">
        <v>450803</v>
      </c>
      <c r="N7" s="31">
        <v>0.64</v>
      </c>
    </row>
    <row r="8" spans="1:14" ht="34" customHeight="1">
      <c r="A8" s="27" t="s">
        <v>90</v>
      </c>
      <c r="B8" s="33">
        <v>9.1600000000000001E-2</v>
      </c>
      <c r="C8" s="33">
        <v>0.13200000000000001</v>
      </c>
      <c r="D8" s="33">
        <v>2.12E-2</v>
      </c>
      <c r="E8" s="34">
        <v>0.21</v>
      </c>
      <c r="F8" s="33">
        <v>0.1148</v>
      </c>
      <c r="G8" s="33"/>
      <c r="H8" s="31">
        <v>1.33</v>
      </c>
      <c r="I8" s="33"/>
      <c r="J8" s="33">
        <v>3.7699999999999997E-2</v>
      </c>
      <c r="K8" s="34">
        <v>0.45</v>
      </c>
      <c r="L8" s="33">
        <v>7.4099999999999999E-2</v>
      </c>
      <c r="M8" s="33">
        <v>3.1099999999999999E-2</v>
      </c>
      <c r="N8" s="34">
        <v>0.35</v>
      </c>
    </row>
    <row r="9" spans="1:14" ht="34" customHeight="1">
      <c r="A9" s="20" t="s">
        <v>91</v>
      </c>
      <c r="B9" s="29">
        <v>48550</v>
      </c>
      <c r="C9" s="29">
        <v>66120</v>
      </c>
      <c r="D9" s="30">
        <v>-11400</v>
      </c>
      <c r="E9" s="31">
        <v>-0.13</v>
      </c>
      <c r="F9" s="29">
        <v>114670</v>
      </c>
      <c r="G9" s="61"/>
      <c r="H9" s="31">
        <v>0.86</v>
      </c>
      <c r="I9" s="29"/>
      <c r="J9" s="30">
        <v>-252460</v>
      </c>
      <c r="K9" s="31">
        <v>-0.45</v>
      </c>
      <c r="L9" s="29">
        <v>153450</v>
      </c>
      <c r="M9" s="30">
        <v>-21640</v>
      </c>
      <c r="N9" s="31">
        <v>-7.0000000000000007E-2</v>
      </c>
    </row>
    <row r="10" spans="1:14" ht="34" customHeight="1">
      <c r="A10" s="27" t="s">
        <v>92</v>
      </c>
      <c r="B10" s="33">
        <v>3.9E-2</v>
      </c>
      <c r="C10" s="33">
        <v>3.9300000000000002E-2</v>
      </c>
      <c r="D10" s="33">
        <v>-8.0000000000000004E-4</v>
      </c>
      <c r="E10" s="34">
        <v>-0.02</v>
      </c>
      <c r="F10" s="33">
        <v>3.9100000000000003E-2</v>
      </c>
      <c r="G10" s="33"/>
      <c r="H10" s="31">
        <v>0.78</v>
      </c>
      <c r="I10" s="33"/>
      <c r="J10" s="33">
        <v>-7.0000000000000001E-3</v>
      </c>
      <c r="K10" s="34">
        <v>-0.18</v>
      </c>
      <c r="L10" s="33">
        <v>5.62E-2</v>
      </c>
      <c r="M10" s="33">
        <v>-9.5999999999999992E-3</v>
      </c>
      <c r="N10" s="34">
        <v>-0.23</v>
      </c>
    </row>
    <row r="11" spans="1:14" ht="34" customHeight="1">
      <c r="A11" s="20" t="s">
        <v>93</v>
      </c>
      <c r="B11" s="29">
        <v>165923</v>
      </c>
      <c r="C11" s="29">
        <v>254070</v>
      </c>
      <c r="D11" s="30">
        <v>-29608</v>
      </c>
      <c r="E11" s="31">
        <v>-0.09</v>
      </c>
      <c r="F11" s="29">
        <v>419993</v>
      </c>
      <c r="G11" s="61"/>
      <c r="H11" s="31">
        <v>1.17</v>
      </c>
      <c r="I11" s="29"/>
      <c r="J11" s="30">
        <v>-509490</v>
      </c>
      <c r="K11" s="31">
        <v>-0.27</v>
      </c>
      <c r="L11" s="29">
        <v>343378</v>
      </c>
      <c r="M11" s="30">
        <v>349578</v>
      </c>
      <c r="N11" s="31">
        <v>0.34</v>
      </c>
    </row>
    <row r="12" spans="1:14" ht="34" customHeight="1">
      <c r="A12" s="20" t="s">
        <v>94</v>
      </c>
      <c r="B12" s="29">
        <v>87950</v>
      </c>
      <c r="C12" s="29">
        <v>113767</v>
      </c>
      <c r="D12" s="30">
        <v>-10364</v>
      </c>
      <c r="E12" s="31">
        <v>-7.0000000000000007E-2</v>
      </c>
      <c r="F12" s="29">
        <v>201717</v>
      </c>
      <c r="G12" s="61"/>
      <c r="H12" s="31">
        <v>1.02</v>
      </c>
      <c r="I12" s="29"/>
      <c r="J12" s="30">
        <v>-369579</v>
      </c>
      <c r="K12" s="31">
        <v>-0.36</v>
      </c>
      <c r="L12" s="29">
        <v>193985</v>
      </c>
      <c r="M12" s="30">
        <v>78923</v>
      </c>
      <c r="N12" s="31">
        <v>0.14000000000000001</v>
      </c>
    </row>
    <row r="13" spans="1:14" ht="34" customHeight="1">
      <c r="A13" s="20" t="s">
        <v>95</v>
      </c>
      <c r="B13" s="29">
        <v>53698</v>
      </c>
      <c r="C13" s="29">
        <v>107243</v>
      </c>
      <c r="D13" s="30">
        <v>-13544</v>
      </c>
      <c r="E13" s="31">
        <v>-0.1</v>
      </c>
      <c r="F13" s="29">
        <v>160941</v>
      </c>
      <c r="G13" s="61"/>
      <c r="H13" s="31">
        <v>1.57</v>
      </c>
      <c r="I13" s="29"/>
      <c r="J13" s="30">
        <v>-13681</v>
      </c>
      <c r="K13" s="31">
        <v>-0.02</v>
      </c>
      <c r="L13" s="29">
        <v>72668</v>
      </c>
      <c r="M13" s="30">
        <v>281475</v>
      </c>
      <c r="N13" s="31">
        <v>0.94</v>
      </c>
    </row>
    <row r="14" spans="1:14" ht="34" customHeight="1">
      <c r="A14" s="20" t="s">
        <v>96</v>
      </c>
      <c r="B14" s="29">
        <v>24275</v>
      </c>
      <c r="C14" s="29">
        <v>33060</v>
      </c>
      <c r="D14" s="30">
        <v>-5700</v>
      </c>
      <c r="E14" s="31">
        <v>-0.13</v>
      </c>
      <c r="F14" s="29">
        <v>57335</v>
      </c>
      <c r="G14" s="61"/>
      <c r="H14" s="31">
        <v>0.86</v>
      </c>
      <c r="I14" s="29"/>
      <c r="J14" s="30">
        <v>-126230</v>
      </c>
      <c r="K14" s="31">
        <v>-0.45</v>
      </c>
      <c r="L14" s="29">
        <v>76725</v>
      </c>
      <c r="M14" s="30">
        <v>-10820</v>
      </c>
      <c r="N14" s="31">
        <v>-7.0000000000000007E-2</v>
      </c>
    </row>
    <row r="15" spans="1:14" ht="34" customHeight="1">
      <c r="A15" s="20" t="s">
        <v>97</v>
      </c>
      <c r="B15" s="29"/>
      <c r="C15" s="35">
        <v>2</v>
      </c>
      <c r="D15" s="30">
        <v>-1</v>
      </c>
      <c r="E15" s="31">
        <v>-1</v>
      </c>
      <c r="F15" s="29">
        <v>2</v>
      </c>
      <c r="G15" s="61"/>
      <c r="H15" s="31">
        <v>0.8</v>
      </c>
      <c r="I15" s="29"/>
      <c r="J15" s="30">
        <v>-4</v>
      </c>
      <c r="K15" s="31">
        <v>-0.27</v>
      </c>
      <c r="L15" s="29">
        <v>4</v>
      </c>
      <c r="M15" s="30">
        <v>-2</v>
      </c>
      <c r="N15" s="31">
        <v>-0.15</v>
      </c>
    </row>
    <row r="16" spans="1:14" ht="34" customHeight="1">
      <c r="A16" s="20" t="s">
        <v>98</v>
      </c>
      <c r="B16" s="35"/>
      <c r="C16" s="35"/>
      <c r="D16" s="32"/>
      <c r="E16" s="32"/>
      <c r="F16" s="29"/>
      <c r="G16" s="61"/>
      <c r="H16" s="31">
        <v>5</v>
      </c>
      <c r="I16" s="29"/>
      <c r="J16" s="30">
        <v>8</v>
      </c>
      <c r="K16" s="31">
        <v>4</v>
      </c>
      <c r="L16" s="29">
        <v>1</v>
      </c>
      <c r="M16" s="30">
        <v>7</v>
      </c>
      <c r="N16" s="31">
        <v>2.33</v>
      </c>
    </row>
    <row r="17" spans="1:14" ht="34" customHeight="1">
      <c r="A17" s="20" t="s">
        <v>99</v>
      </c>
      <c r="B17" s="29"/>
      <c r="C17" s="35">
        <v>2</v>
      </c>
      <c r="D17" s="30">
        <v>-1</v>
      </c>
      <c r="E17" s="31">
        <v>-1</v>
      </c>
      <c r="F17" s="29">
        <v>2</v>
      </c>
      <c r="G17" s="61"/>
      <c r="H17" s="31">
        <v>1.29</v>
      </c>
      <c r="I17" s="29"/>
      <c r="J17" s="30">
        <v>4</v>
      </c>
      <c r="K17" s="31">
        <v>0.24</v>
      </c>
      <c r="L17" s="29">
        <v>5</v>
      </c>
      <c r="M17" s="30">
        <v>5</v>
      </c>
      <c r="N17" s="31">
        <v>0.31</v>
      </c>
    </row>
    <row r="18" spans="1:14" ht="34" customHeight="1">
      <c r="A18" s="20" t="s">
        <v>100</v>
      </c>
      <c r="B18" s="35"/>
      <c r="C18" s="35"/>
      <c r="D18" s="32"/>
      <c r="E18" s="32"/>
      <c r="F18" s="29"/>
      <c r="G18" s="61"/>
      <c r="H18" s="31">
        <v>1</v>
      </c>
      <c r="I18" s="29"/>
      <c r="J18" s="30">
        <v>1</v>
      </c>
      <c r="K18" s="31">
        <v>1</v>
      </c>
      <c r="L18" s="29">
        <v>1</v>
      </c>
      <c r="M18" s="30">
        <v>-2</v>
      </c>
      <c r="N18" s="31">
        <v>-0.5</v>
      </c>
    </row>
    <row r="19" spans="1:14" ht="34" customHeight="1">
      <c r="A19" s="27" t="s">
        <v>101</v>
      </c>
      <c r="B19" s="63"/>
      <c r="C19" s="64">
        <v>0</v>
      </c>
      <c r="D19" s="36"/>
      <c r="E19" s="36"/>
      <c r="F19" s="33">
        <v>0</v>
      </c>
      <c r="G19" s="34"/>
      <c r="H19" s="31">
        <v>0.9</v>
      </c>
      <c r="I19" s="33"/>
      <c r="J19" s="33">
        <v>0.1152</v>
      </c>
      <c r="K19" s="34">
        <v>1.73</v>
      </c>
      <c r="L19" s="33">
        <v>0.2</v>
      </c>
      <c r="M19" s="33">
        <v>-0.12590000000000001</v>
      </c>
      <c r="N19" s="34">
        <v>-0.41</v>
      </c>
    </row>
    <row r="20" spans="1:14" ht="34" customHeight="1">
      <c r="A20" s="20" t="s">
        <v>102</v>
      </c>
      <c r="B20" s="29"/>
      <c r="C20" s="35">
        <v>1</v>
      </c>
      <c r="D20" s="30">
        <v>-1</v>
      </c>
      <c r="E20" s="31">
        <v>-1</v>
      </c>
      <c r="F20" s="29">
        <v>1</v>
      </c>
      <c r="G20" s="61"/>
      <c r="H20" s="31">
        <v>0.56000000000000005</v>
      </c>
      <c r="I20" s="29"/>
      <c r="J20" s="32"/>
      <c r="K20" s="32"/>
      <c r="L20" s="29">
        <v>1</v>
      </c>
      <c r="M20" s="30">
        <v>-1</v>
      </c>
      <c r="N20" s="31">
        <v>-0.17</v>
      </c>
    </row>
    <row r="21" spans="1:14" ht="34" customHeight="1">
      <c r="A21" s="27" t="s">
        <v>103</v>
      </c>
      <c r="B21" s="63"/>
      <c r="C21" s="64">
        <v>0.5</v>
      </c>
      <c r="D21" s="36"/>
      <c r="E21" s="36"/>
      <c r="F21" s="33">
        <v>0.5</v>
      </c>
      <c r="G21" s="34"/>
      <c r="H21" s="31">
        <v>0.46</v>
      </c>
      <c r="I21" s="33"/>
      <c r="J21" s="33">
        <v>-5.6000000000000001E-2</v>
      </c>
      <c r="K21" s="34">
        <v>-0.19</v>
      </c>
      <c r="L21" s="33">
        <v>0.2</v>
      </c>
      <c r="M21" s="33">
        <v>-0.13689999999999999</v>
      </c>
      <c r="N21" s="34">
        <v>-0.37</v>
      </c>
    </row>
    <row r="22" spans="1:14" ht="34" customHeight="1">
      <c r="A22" s="20" t="s">
        <v>104</v>
      </c>
      <c r="B22" s="29">
        <v>13</v>
      </c>
      <c r="C22" s="29">
        <v>10</v>
      </c>
      <c r="D22" s="30">
        <v>8</v>
      </c>
      <c r="E22" s="31">
        <v>0.89</v>
      </c>
      <c r="F22" s="29">
        <v>23</v>
      </c>
      <c r="G22" s="61"/>
      <c r="H22" s="31">
        <v>1.05</v>
      </c>
      <c r="I22" s="29"/>
      <c r="J22" s="30">
        <v>-35</v>
      </c>
      <c r="K22" s="31">
        <v>-0.44</v>
      </c>
      <c r="L22" s="29">
        <v>4</v>
      </c>
      <c r="M22" s="30">
        <v>2</v>
      </c>
      <c r="N22" s="31">
        <v>0.05</v>
      </c>
    </row>
    <row r="23" spans="1:14" ht="34" customHeight="1">
      <c r="A23" s="20" t="s">
        <v>105</v>
      </c>
      <c r="B23" s="29">
        <v>8</v>
      </c>
      <c r="C23" s="29">
        <v>9</v>
      </c>
      <c r="D23" s="30">
        <v>6</v>
      </c>
      <c r="E23" s="31">
        <v>2</v>
      </c>
      <c r="F23" s="29">
        <v>17</v>
      </c>
      <c r="G23" s="61"/>
      <c r="H23" s="31">
        <v>0.86</v>
      </c>
      <c r="I23" s="29"/>
      <c r="J23" s="30">
        <v>-20</v>
      </c>
      <c r="K23" s="31">
        <v>-0.51</v>
      </c>
      <c r="L23" s="29">
        <v>4</v>
      </c>
      <c r="M23" s="30">
        <v>-5</v>
      </c>
      <c r="N23" s="31">
        <v>-0.21</v>
      </c>
    </row>
    <row r="24" spans="1:14" ht="34" customHeight="1">
      <c r="A24" s="27" t="s">
        <v>106</v>
      </c>
      <c r="B24" s="63">
        <v>0.61539999999999995</v>
      </c>
      <c r="C24" s="63">
        <v>0.9</v>
      </c>
      <c r="D24" s="63">
        <v>0.1961</v>
      </c>
      <c r="E24" s="34">
        <v>0.59</v>
      </c>
      <c r="F24" s="33">
        <v>0.73909999999999998</v>
      </c>
      <c r="G24" s="34"/>
      <c r="H24" s="31">
        <v>0.82</v>
      </c>
      <c r="I24" s="33"/>
      <c r="J24" s="33">
        <v>-6.5299999999999997E-2</v>
      </c>
      <c r="K24" s="34">
        <v>-0.13</v>
      </c>
      <c r="L24" s="33">
        <v>1</v>
      </c>
      <c r="M24" s="33">
        <v>-0.13589999999999999</v>
      </c>
      <c r="N24" s="34">
        <v>-0.24</v>
      </c>
    </row>
    <row r="25" spans="1:14" ht="34" customHeight="1">
      <c r="A25" s="20" t="s">
        <v>107</v>
      </c>
      <c r="B25" s="29">
        <v>18</v>
      </c>
      <c r="C25" s="29">
        <v>21</v>
      </c>
      <c r="D25" s="30">
        <v>-15</v>
      </c>
      <c r="E25" s="31">
        <v>-0.32</v>
      </c>
      <c r="F25" s="29">
        <v>39</v>
      </c>
      <c r="G25" s="61"/>
      <c r="H25" s="31">
        <v>1.44</v>
      </c>
      <c r="I25" s="29"/>
      <c r="J25" s="30">
        <v>-53</v>
      </c>
      <c r="K25" s="31">
        <v>-0.26</v>
      </c>
      <c r="L25" s="29"/>
      <c r="M25" s="30">
        <v>50</v>
      </c>
      <c r="N25" s="31">
        <v>0.51</v>
      </c>
    </row>
    <row r="26" spans="1:14" ht="34" customHeight="1">
      <c r="A26" s="20" t="s">
        <v>108</v>
      </c>
      <c r="B26" s="29">
        <v>4</v>
      </c>
      <c r="C26" s="29">
        <v>4</v>
      </c>
      <c r="D26" s="30">
        <v>-4</v>
      </c>
      <c r="E26" s="31">
        <v>-0.33</v>
      </c>
      <c r="F26" s="29">
        <v>8</v>
      </c>
      <c r="G26" s="61"/>
      <c r="H26" s="31">
        <v>1.55</v>
      </c>
      <c r="I26" s="29"/>
      <c r="J26" s="30">
        <v>-25</v>
      </c>
      <c r="K26" s="31">
        <v>-0.45</v>
      </c>
      <c r="L26" s="29">
        <v>20</v>
      </c>
      <c r="M26" s="30">
        <v>3</v>
      </c>
      <c r="N26" s="31">
        <v>0.11</v>
      </c>
    </row>
    <row r="27" spans="1:14" ht="34" customHeight="1">
      <c r="A27" s="27" t="s">
        <v>109</v>
      </c>
      <c r="B27" s="33">
        <v>0.22220000000000001</v>
      </c>
      <c r="C27" s="33">
        <v>0.1905</v>
      </c>
      <c r="D27" s="33">
        <v>-5.3E-3</v>
      </c>
      <c r="E27" s="34">
        <v>-0.02</v>
      </c>
      <c r="F27" s="33">
        <v>0.2051</v>
      </c>
      <c r="G27" s="34"/>
      <c r="H27" s="31">
        <v>1.1100000000000001</v>
      </c>
      <c r="I27" s="33"/>
      <c r="J27" s="33">
        <v>-6.9199999999999998E-2</v>
      </c>
      <c r="K27" s="34">
        <v>-0.25</v>
      </c>
      <c r="L27" s="33"/>
      <c r="M27" s="33">
        <v>-7.4800000000000005E-2</v>
      </c>
      <c r="N27" s="34">
        <v>-0.26</v>
      </c>
    </row>
    <row r="28" spans="1:14" ht="34" customHeight="1">
      <c r="A28" s="20" t="s">
        <v>110</v>
      </c>
      <c r="B28" s="29">
        <v>5</v>
      </c>
      <c r="C28" s="29">
        <v>8</v>
      </c>
      <c r="D28" s="30">
        <v>4</v>
      </c>
      <c r="E28" s="31">
        <v>2</v>
      </c>
      <c r="F28" s="29">
        <v>13</v>
      </c>
      <c r="G28" s="61"/>
      <c r="H28" s="31">
        <v>0.69</v>
      </c>
      <c r="I28" s="29"/>
      <c r="J28" s="30">
        <v>-43</v>
      </c>
      <c r="K28" s="31">
        <v>-0.54</v>
      </c>
      <c r="L28" s="29"/>
      <c r="M28" s="30">
        <v>-17</v>
      </c>
      <c r="N28" s="31">
        <v>-0.31</v>
      </c>
    </row>
    <row r="29" spans="1:14" ht="34" customHeight="1">
      <c r="A29" s="20" t="s">
        <v>111</v>
      </c>
      <c r="B29" s="35">
        <v>3</v>
      </c>
      <c r="C29" s="29">
        <v>3</v>
      </c>
      <c r="D29" s="30">
        <v>4</v>
      </c>
      <c r="E29" s="32"/>
      <c r="F29" s="29">
        <v>6</v>
      </c>
      <c r="G29" s="61"/>
      <c r="H29" s="31">
        <v>0.64</v>
      </c>
      <c r="I29" s="29"/>
      <c r="J29" s="30">
        <v>-24</v>
      </c>
      <c r="K29" s="31">
        <v>-0.63</v>
      </c>
      <c r="L29" s="29">
        <v>4</v>
      </c>
      <c r="M29" s="30">
        <v>-3</v>
      </c>
      <c r="N29" s="31">
        <v>-0.18</v>
      </c>
    </row>
    <row r="30" spans="1:14" ht="34" customHeight="1">
      <c r="A30" s="27" t="s">
        <v>112</v>
      </c>
      <c r="B30" s="33">
        <v>0.6</v>
      </c>
      <c r="C30" s="33">
        <v>0.375</v>
      </c>
      <c r="D30" s="33">
        <v>0.66669999999999996</v>
      </c>
      <c r="E30" s="36"/>
      <c r="F30" s="33">
        <v>0.46150000000000002</v>
      </c>
      <c r="G30" s="34"/>
      <c r="H30" s="31">
        <v>0.95</v>
      </c>
      <c r="I30" s="33"/>
      <c r="J30" s="33">
        <v>-9.6600000000000005E-2</v>
      </c>
      <c r="K30" s="34">
        <v>-0.2</v>
      </c>
      <c r="L30" s="33"/>
      <c r="M30" s="33">
        <v>6.3600000000000004E-2</v>
      </c>
      <c r="N30" s="34">
        <v>0.2</v>
      </c>
    </row>
    <row r="31" spans="1:14" ht="34" customHeight="1">
      <c r="A31" s="20" t="s">
        <v>113</v>
      </c>
      <c r="B31" s="100"/>
      <c r="C31" s="100"/>
      <c r="D31" s="101">
        <v>100000</v>
      </c>
      <c r="E31" s="31">
        <v>0.18</v>
      </c>
      <c r="F31" s="100"/>
      <c r="G31" s="32"/>
      <c r="H31" s="31">
        <v>0</v>
      </c>
      <c r="I31" s="100"/>
      <c r="J31" s="101">
        <v>-800000</v>
      </c>
      <c r="K31" s="31">
        <v>-0.32</v>
      </c>
      <c r="L31" s="100"/>
      <c r="M31" s="101">
        <v>300000</v>
      </c>
      <c r="N31" s="31">
        <v>0.23</v>
      </c>
    </row>
    <row r="32" spans="1:14" ht="34" customHeight="1">
      <c r="A32" s="20" t="s">
        <v>114</v>
      </c>
      <c r="B32" s="100"/>
      <c r="C32" s="100"/>
      <c r="D32" s="101">
        <v>-200</v>
      </c>
      <c r="E32" s="31">
        <v>-0.14000000000000001</v>
      </c>
      <c r="F32" s="100"/>
      <c r="G32" s="30">
        <v>0</v>
      </c>
      <c r="H32" s="31">
        <v>0</v>
      </c>
      <c r="I32" s="29"/>
      <c r="J32" s="101">
        <v>-500</v>
      </c>
      <c r="K32" s="31">
        <v>-0.08</v>
      </c>
      <c r="L32" s="100"/>
      <c r="M32" s="101">
        <v>-900</v>
      </c>
      <c r="N32" s="31">
        <v>-0.13</v>
      </c>
    </row>
    <row r="33" spans="1:14" ht="34" customHeight="1">
      <c r="A33" s="20" t="s">
        <v>115</v>
      </c>
      <c r="B33" s="29"/>
      <c r="C33" s="29"/>
      <c r="D33" s="30"/>
      <c r="E33" s="31"/>
      <c r="F33" s="29"/>
      <c r="G33" s="30"/>
      <c r="H33" s="31"/>
      <c r="I33" s="29"/>
      <c r="J33" s="30"/>
      <c r="K33" s="31"/>
      <c r="L33" s="29"/>
      <c r="M33" s="30">
        <v>81</v>
      </c>
      <c r="N33" s="31">
        <v>0.08</v>
      </c>
    </row>
    <row r="34" spans="1:14" ht="34" customHeight="1">
      <c r="A34" s="28" t="s">
        <v>116</v>
      </c>
      <c r="B34" s="37">
        <v>0.14000000000000001</v>
      </c>
      <c r="C34" s="37">
        <v>0.16</v>
      </c>
      <c r="D34" s="30">
        <v>0</v>
      </c>
      <c r="E34" s="31">
        <v>0</v>
      </c>
      <c r="F34" s="37">
        <v>0.18</v>
      </c>
      <c r="G34" s="30">
        <v>0</v>
      </c>
      <c r="H34" s="31">
        <v>0</v>
      </c>
      <c r="I34" s="37">
        <v>0.18</v>
      </c>
      <c r="J34" s="30">
        <v>0</v>
      </c>
      <c r="K34" s="31">
        <v>0</v>
      </c>
      <c r="L34" s="37">
        <v>0.15</v>
      </c>
      <c r="M34" s="30">
        <v>0</v>
      </c>
      <c r="N34" s="3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"/>
  <sheetViews>
    <sheetView zoomScale="64" zoomScaleNormal="75" workbookViewId="0">
      <selection activeCell="Q16" sqref="Q16"/>
    </sheetView>
  </sheetViews>
  <sheetFormatPr baseColWidth="10" defaultRowHeight="15"/>
  <cols>
    <col min="1" max="1" width="13.83203125" style="57" customWidth="1"/>
    <col min="2" max="2" width="22.1640625" style="57" customWidth="1"/>
    <col min="3" max="17" width="17" style="57" customWidth="1"/>
  </cols>
  <sheetData>
    <row r="1" spans="1:17" ht="36" customHeight="1">
      <c r="A1" s="4" t="s">
        <v>117</v>
      </c>
      <c r="B1" s="9" t="s">
        <v>118</v>
      </c>
      <c r="C1" s="10" t="s">
        <v>70</v>
      </c>
      <c r="D1" s="10" t="s">
        <v>71</v>
      </c>
      <c r="E1" s="11" t="s">
        <v>119</v>
      </c>
      <c r="F1" s="11" t="s">
        <v>120</v>
      </c>
      <c r="G1" s="12" t="s">
        <v>121</v>
      </c>
      <c r="H1" s="13" t="s">
        <v>77</v>
      </c>
      <c r="I1" s="11" t="s">
        <v>119</v>
      </c>
      <c r="J1" s="11" t="s">
        <v>120</v>
      </c>
      <c r="K1" s="13" t="s">
        <v>80</v>
      </c>
      <c r="L1" s="11" t="s">
        <v>119</v>
      </c>
      <c r="M1" s="11" t="s">
        <v>120</v>
      </c>
      <c r="N1" s="14">
        <v>2025</v>
      </c>
      <c r="O1" s="14">
        <v>2026</v>
      </c>
      <c r="P1" s="11" t="s">
        <v>119</v>
      </c>
      <c r="Q1" s="11" t="s">
        <v>120</v>
      </c>
    </row>
    <row r="2" spans="1:17" ht="45" customHeight="1">
      <c r="A2" s="1">
        <v>4007</v>
      </c>
      <c r="B2" s="4" t="s">
        <v>122</v>
      </c>
      <c r="C2" s="5"/>
      <c r="D2" s="5"/>
      <c r="E2" s="5"/>
      <c r="F2" s="2"/>
      <c r="G2" s="5"/>
      <c r="H2" s="5"/>
      <c r="I2" s="5"/>
      <c r="J2" s="2"/>
      <c r="K2" s="5"/>
      <c r="L2" s="5"/>
      <c r="M2" s="2"/>
      <c r="N2" s="5"/>
      <c r="O2" s="5"/>
      <c r="P2" s="5"/>
      <c r="Q2" s="2"/>
    </row>
    <row r="3" spans="1:17" ht="45" customHeight="1">
      <c r="A3" s="1">
        <v>4009</v>
      </c>
      <c r="B3" s="4" t="s">
        <v>123</v>
      </c>
      <c r="C3" s="5"/>
      <c r="D3" s="5"/>
      <c r="E3" s="5"/>
      <c r="F3" s="2"/>
      <c r="G3" s="5"/>
      <c r="H3" s="5"/>
      <c r="I3" s="5"/>
      <c r="J3" s="2"/>
      <c r="K3" s="5"/>
      <c r="L3" s="5"/>
      <c r="M3" s="2"/>
      <c r="N3" s="5"/>
      <c r="O3" s="5"/>
      <c r="P3" s="5"/>
      <c r="Q3" s="2"/>
    </row>
    <row r="4" spans="1:17" ht="45" customHeight="1">
      <c r="A4" s="1">
        <v>4010</v>
      </c>
      <c r="B4" s="4" t="s">
        <v>124</v>
      </c>
      <c r="C4" s="5"/>
      <c r="D4" s="5"/>
      <c r="E4" s="5"/>
      <c r="F4" s="2"/>
      <c r="G4" s="5"/>
      <c r="H4" s="5"/>
      <c r="I4" s="5"/>
      <c r="J4" s="2"/>
      <c r="K4" s="5"/>
      <c r="L4" s="5"/>
      <c r="M4" s="2"/>
      <c r="N4" s="5"/>
      <c r="O4" s="5"/>
      <c r="P4" s="5"/>
      <c r="Q4" s="2"/>
    </row>
    <row r="5" spans="1:17" ht="45" customHeight="1">
      <c r="A5" s="1">
        <v>4012</v>
      </c>
      <c r="B5" s="4" t="s">
        <v>125</v>
      </c>
      <c r="C5" s="5"/>
      <c r="D5" s="5"/>
      <c r="E5" s="5"/>
      <c r="F5" s="2"/>
      <c r="G5" s="5"/>
      <c r="H5" s="5"/>
      <c r="I5" s="5"/>
      <c r="J5" s="2"/>
      <c r="K5" s="5"/>
      <c r="L5" s="5"/>
      <c r="M5" s="2"/>
      <c r="N5" s="5"/>
      <c r="O5" s="5"/>
      <c r="P5" s="5"/>
      <c r="Q5" s="2"/>
    </row>
    <row r="6" spans="1:17" ht="45" customHeight="1">
      <c r="A6" s="1">
        <v>4013</v>
      </c>
      <c r="B6" s="4" t="s">
        <v>126</v>
      </c>
      <c r="C6" s="5"/>
      <c r="D6" s="5"/>
      <c r="E6" s="5"/>
      <c r="F6" s="2"/>
      <c r="G6" s="5"/>
      <c r="H6" s="5"/>
      <c r="I6" s="5"/>
      <c r="J6" s="2"/>
      <c r="K6" s="5"/>
      <c r="L6" s="5"/>
      <c r="M6" s="2"/>
      <c r="N6" s="5"/>
      <c r="O6" s="5"/>
      <c r="P6" s="5"/>
      <c r="Q6" s="2"/>
    </row>
    <row r="7" spans="1:17" ht="45" customHeight="1">
      <c r="A7" s="1">
        <v>4014</v>
      </c>
      <c r="B7" s="4" t="s">
        <v>127</v>
      </c>
      <c r="C7" s="5"/>
      <c r="D7" s="5"/>
      <c r="E7" s="1"/>
      <c r="F7" s="2"/>
      <c r="G7" s="5"/>
      <c r="H7" s="5"/>
      <c r="I7" s="5"/>
      <c r="J7" s="2"/>
      <c r="K7" s="5"/>
      <c r="L7" s="5"/>
      <c r="M7" s="2"/>
      <c r="N7" s="5"/>
      <c r="O7" s="5"/>
      <c r="P7" s="5"/>
      <c r="Q7" s="2"/>
    </row>
    <row r="8" spans="1:17" ht="45" customHeight="1">
      <c r="A8" s="1">
        <v>4017</v>
      </c>
      <c r="B8" s="4" t="s">
        <v>128</v>
      </c>
      <c r="C8" s="1"/>
      <c r="D8" s="1"/>
      <c r="E8" s="1"/>
      <c r="F8" s="1"/>
      <c r="G8" s="1"/>
      <c r="H8" s="1"/>
      <c r="I8" s="1"/>
      <c r="J8" s="2"/>
      <c r="K8" s="1"/>
      <c r="L8" s="1"/>
      <c r="M8" s="1"/>
      <c r="N8" s="1"/>
      <c r="O8" s="5"/>
      <c r="P8" s="5"/>
      <c r="Q8" s="1"/>
    </row>
    <row r="9" spans="1:17" ht="45" customHeight="1">
      <c r="A9" s="1">
        <v>4021</v>
      </c>
      <c r="B9" s="4" t="s">
        <v>129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45" customHeight="1">
      <c r="A10" s="1">
        <v>4022</v>
      </c>
      <c r="B10" s="4" t="s">
        <v>130</v>
      </c>
      <c r="C10" s="1"/>
      <c r="D10" s="5"/>
      <c r="E10" s="5"/>
      <c r="F10" s="1"/>
      <c r="G10" s="5"/>
      <c r="H10" s="5"/>
      <c r="I10" s="5"/>
      <c r="J10" s="2"/>
      <c r="K10" s="5"/>
      <c r="L10" s="5"/>
      <c r="M10" s="2"/>
      <c r="N10" s="5"/>
      <c r="O10" s="5"/>
      <c r="P10" s="5"/>
      <c r="Q10" s="2"/>
    </row>
    <row r="11" spans="1:17" ht="45" customHeight="1">
      <c r="A11" s="1">
        <v>4026</v>
      </c>
      <c r="B11" s="4" t="s">
        <v>131</v>
      </c>
      <c r="C11" s="1"/>
      <c r="D11" s="1"/>
      <c r="E11" s="1"/>
      <c r="F11" s="1"/>
      <c r="G11" s="1"/>
      <c r="H11" s="5"/>
      <c r="I11" s="5"/>
      <c r="J11" s="2"/>
      <c r="K11" s="5"/>
      <c r="L11" s="5"/>
      <c r="M11" s="2"/>
      <c r="N11" s="5"/>
      <c r="O11" s="5"/>
      <c r="P11" s="5"/>
      <c r="Q11" s="2"/>
    </row>
    <row r="12" spans="1:17" ht="45" customHeight="1">
      <c r="A12" s="1">
        <v>4039</v>
      </c>
      <c r="B12" s="4" t="s">
        <v>132</v>
      </c>
      <c r="C12" s="5"/>
      <c r="D12" s="5"/>
      <c r="E12" s="1"/>
      <c r="F12" s="2"/>
      <c r="G12" s="5"/>
      <c r="H12" s="5"/>
      <c r="I12" s="5"/>
      <c r="J12" s="2"/>
      <c r="K12" s="5"/>
      <c r="L12" s="1"/>
      <c r="M12" s="2"/>
      <c r="N12" s="5"/>
      <c r="O12" s="5"/>
      <c r="P12" s="5"/>
      <c r="Q12" s="2"/>
    </row>
    <row r="13" spans="1:17" ht="45" customHeight="1">
      <c r="A13" s="1">
        <v>4050</v>
      </c>
      <c r="B13" s="4" t="s">
        <v>133</v>
      </c>
      <c r="C13" s="1"/>
      <c r="D13" s="1"/>
      <c r="E13" s="1"/>
      <c r="F13" s="1"/>
      <c r="G13" s="1"/>
      <c r="H13" s="1"/>
      <c r="I13" s="1"/>
      <c r="J13" s="2"/>
      <c r="K13" s="5"/>
      <c r="L13" s="5"/>
      <c r="M13" s="2"/>
      <c r="N13" s="5"/>
      <c r="O13" s="5"/>
      <c r="P13" s="1"/>
      <c r="Q13" s="2"/>
    </row>
    <row r="14" spans="1:17" ht="45" customHeight="1">
      <c r="A14" s="1">
        <v>4053</v>
      </c>
      <c r="B14" s="4" t="s">
        <v>134</v>
      </c>
      <c r="C14" s="1"/>
      <c r="D14" s="1"/>
      <c r="E14" s="1"/>
      <c r="F14" s="1"/>
      <c r="G14" s="1"/>
      <c r="H14" s="1"/>
      <c r="I14" s="1"/>
      <c r="J14" s="2"/>
      <c r="K14" s="1"/>
      <c r="L14" s="1"/>
      <c r="M14" s="1"/>
      <c r="N14" s="1"/>
      <c r="O14" s="1"/>
      <c r="P14" s="1"/>
      <c r="Q14" s="1"/>
    </row>
    <row r="15" spans="1:17" ht="45" customHeight="1">
      <c r="A15" s="1">
        <v>4069</v>
      </c>
      <c r="B15" s="4" t="s">
        <v>135</v>
      </c>
      <c r="C15" s="5"/>
      <c r="D15" s="5"/>
      <c r="E15" s="5"/>
      <c r="F15" s="2"/>
      <c r="G15" s="5"/>
      <c r="H15" s="5"/>
      <c r="I15" s="5"/>
      <c r="J15" s="2"/>
      <c r="K15" s="5"/>
      <c r="L15" s="5"/>
      <c r="M15" s="2"/>
      <c r="N15" s="5"/>
      <c r="O15" s="5"/>
      <c r="P15" s="5"/>
      <c r="Q15" s="2"/>
    </row>
    <row r="16" spans="1:17" ht="45" customHeight="1">
      <c r="A16" s="1">
        <v>4040</v>
      </c>
      <c r="B16" s="4" t="s">
        <v>136</v>
      </c>
      <c r="C16" s="5"/>
      <c r="D16" s="5"/>
      <c r="E16" s="5"/>
      <c r="F16" s="2"/>
      <c r="G16" s="5"/>
      <c r="H16" s="5"/>
      <c r="I16" s="5"/>
      <c r="J16" s="2"/>
      <c r="K16" s="5"/>
      <c r="L16" s="5"/>
      <c r="M16" s="2"/>
      <c r="N16" s="5"/>
      <c r="O16" s="5"/>
      <c r="P16" s="5"/>
      <c r="Q16" s="2"/>
    </row>
    <row r="17" spans="1:17" ht="45" customHeight="1">
      <c r="A17" s="6"/>
      <c r="B17" s="7" t="s">
        <v>137</v>
      </c>
      <c r="C17" s="8"/>
      <c r="D17" s="8"/>
      <c r="E17" s="8"/>
      <c r="F17" s="3"/>
      <c r="G17" s="8"/>
      <c r="H17" s="8"/>
      <c r="I17" s="8"/>
      <c r="J17" s="3"/>
      <c r="K17" s="8"/>
      <c r="L17" s="8"/>
      <c r="M17" s="3"/>
      <c r="N17" s="8"/>
      <c r="O17" s="8"/>
      <c r="P17" s="8"/>
      <c r="Q17" s="3"/>
    </row>
    <row r="18" spans="1:17" ht="45" customHeight="1">
      <c r="A18" s="6"/>
      <c r="B18" s="7" t="s">
        <v>138</v>
      </c>
      <c r="C18" s="8"/>
      <c r="D18" s="8"/>
      <c r="E18" s="8"/>
      <c r="F18" s="3"/>
      <c r="G18" s="8"/>
      <c r="H18" s="8"/>
      <c r="I18" s="8"/>
      <c r="J18" s="3"/>
      <c r="K18" s="8"/>
      <c r="L18" s="8"/>
      <c r="M18" s="3"/>
      <c r="N18" s="8"/>
      <c r="O18" s="8"/>
      <c r="P18" s="8"/>
      <c r="Q18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zoomScale="75" workbookViewId="0">
      <selection activeCell="F25" sqref="F25"/>
    </sheetView>
  </sheetViews>
  <sheetFormatPr baseColWidth="10" defaultRowHeight="15"/>
  <cols>
    <col min="2" max="2" width="18.33203125" style="57" customWidth="1"/>
    <col min="3" max="3" width="77.83203125" style="57" customWidth="1"/>
    <col min="5" max="5" width="19.6640625" style="57" customWidth="1"/>
    <col min="6" max="6" width="81.5" style="57" customWidth="1"/>
    <col min="7" max="7" width="10.5" style="57" customWidth="1"/>
    <col min="8" max="8" width="19.1640625" style="57" customWidth="1"/>
  </cols>
  <sheetData>
    <row r="1" spans="1:8" ht="38" customHeight="1">
      <c r="A1" s="38" t="s">
        <v>139</v>
      </c>
      <c r="B1" s="38" t="s">
        <v>140</v>
      </c>
      <c r="C1" s="38" t="s">
        <v>141</v>
      </c>
      <c r="D1" s="38" t="s">
        <v>142</v>
      </c>
      <c r="E1" s="38" t="s">
        <v>140</v>
      </c>
      <c r="F1" s="38" t="s">
        <v>141</v>
      </c>
      <c r="G1" s="38" t="s">
        <v>143</v>
      </c>
      <c r="H1" s="38" t="s">
        <v>144</v>
      </c>
    </row>
    <row r="2" spans="1:8" ht="49" customHeight="1">
      <c r="A2" s="39">
        <v>1</v>
      </c>
      <c r="B2" s="40" t="s">
        <v>145</v>
      </c>
      <c r="C2" s="40" t="s">
        <v>146</v>
      </c>
      <c r="D2" s="41">
        <v>7</v>
      </c>
      <c r="E2" s="40" t="s">
        <v>147</v>
      </c>
      <c r="F2" s="40" t="s">
        <v>148</v>
      </c>
      <c r="G2" s="41">
        <v>11</v>
      </c>
      <c r="H2" s="50">
        <v>13344</v>
      </c>
    </row>
    <row r="3" spans="1:8" ht="49" customHeight="1">
      <c r="A3" s="39">
        <v>2</v>
      </c>
      <c r="B3" s="40" t="s">
        <v>147</v>
      </c>
      <c r="C3" s="40" t="s">
        <v>148</v>
      </c>
      <c r="D3" s="41">
        <v>6</v>
      </c>
      <c r="E3" s="40" t="s">
        <v>149</v>
      </c>
      <c r="F3" s="40" t="s">
        <v>150</v>
      </c>
      <c r="G3" s="41">
        <v>7</v>
      </c>
      <c r="H3" s="50">
        <v>1876</v>
      </c>
    </row>
    <row r="4" spans="1:8" ht="49" customHeight="1">
      <c r="A4" s="39">
        <v>3</v>
      </c>
      <c r="B4" s="40" t="s">
        <v>149</v>
      </c>
      <c r="C4" s="40" t="s">
        <v>150</v>
      </c>
      <c r="D4" s="41">
        <v>6</v>
      </c>
      <c r="E4" s="40" t="s">
        <v>145</v>
      </c>
      <c r="F4" s="40" t="s">
        <v>146</v>
      </c>
      <c r="G4" s="41">
        <v>7</v>
      </c>
      <c r="H4" s="50">
        <v>4830</v>
      </c>
    </row>
    <row r="5" spans="1:8" ht="49" customHeight="1">
      <c r="A5" s="39">
        <v>4</v>
      </c>
      <c r="B5" s="40" t="s">
        <v>151</v>
      </c>
      <c r="C5" s="40" t="s">
        <v>152</v>
      </c>
      <c r="D5" s="41">
        <v>4</v>
      </c>
      <c r="E5" s="40" t="s">
        <v>153</v>
      </c>
      <c r="F5" s="40" t="s">
        <v>154</v>
      </c>
      <c r="G5" s="41">
        <v>5</v>
      </c>
      <c r="H5" s="50">
        <v>3450</v>
      </c>
    </row>
    <row r="6" spans="1:8" ht="49" customHeight="1">
      <c r="A6" s="39">
        <v>5</v>
      </c>
      <c r="B6" s="40" t="s">
        <v>155</v>
      </c>
      <c r="C6" s="40" t="s">
        <v>156</v>
      </c>
      <c r="D6" s="41">
        <v>4</v>
      </c>
      <c r="E6" s="40" t="s">
        <v>155</v>
      </c>
      <c r="F6" s="40" t="s">
        <v>156</v>
      </c>
      <c r="G6" s="41">
        <v>4</v>
      </c>
      <c r="H6" s="50">
        <v>1076</v>
      </c>
    </row>
    <row r="7" spans="1:8" ht="49" customHeight="1">
      <c r="A7" s="39">
        <v>6</v>
      </c>
      <c r="B7" s="40" t="s">
        <v>157</v>
      </c>
      <c r="C7" s="40" t="s">
        <v>158</v>
      </c>
      <c r="D7" s="41">
        <v>3</v>
      </c>
      <c r="E7" s="40" t="s">
        <v>157</v>
      </c>
      <c r="F7" s="40" t="s">
        <v>158</v>
      </c>
      <c r="G7" s="41">
        <v>4</v>
      </c>
      <c r="H7" s="50">
        <v>1813</v>
      </c>
    </row>
    <row r="8" spans="1:8" ht="49" customHeight="1">
      <c r="A8" s="39">
        <v>7</v>
      </c>
      <c r="B8" s="40" t="s">
        <v>153</v>
      </c>
      <c r="C8" s="40" t="s">
        <v>154</v>
      </c>
      <c r="D8" s="41">
        <v>3</v>
      </c>
      <c r="E8" s="40" t="s">
        <v>159</v>
      </c>
      <c r="F8" s="40" t="s">
        <v>160</v>
      </c>
      <c r="G8" s="41">
        <v>4</v>
      </c>
      <c r="H8" s="50">
        <v>3560</v>
      </c>
    </row>
    <row r="9" spans="1:8" ht="49" customHeight="1">
      <c r="A9" s="39">
        <v>8</v>
      </c>
      <c r="B9" s="40" t="s">
        <v>159</v>
      </c>
      <c r="C9" s="40" t="s">
        <v>160</v>
      </c>
      <c r="D9" s="41">
        <v>3</v>
      </c>
      <c r="E9" s="40" t="s">
        <v>161</v>
      </c>
      <c r="F9" s="40" t="s">
        <v>162</v>
      </c>
      <c r="G9" s="41">
        <v>4</v>
      </c>
      <c r="H9" s="50">
        <v>3812</v>
      </c>
    </row>
    <row r="10" spans="1:8" ht="49" customHeight="1">
      <c r="A10" s="39">
        <v>9</v>
      </c>
      <c r="B10" s="40" t="s">
        <v>163</v>
      </c>
      <c r="C10" s="40" t="s">
        <v>164</v>
      </c>
      <c r="D10" s="41">
        <v>3</v>
      </c>
      <c r="E10" s="40" t="s">
        <v>151</v>
      </c>
      <c r="F10" s="40" t="s">
        <v>152</v>
      </c>
      <c r="G10" s="41">
        <v>4</v>
      </c>
      <c r="H10" s="50">
        <v>1496</v>
      </c>
    </row>
    <row r="11" spans="1:8" ht="49" customHeight="1">
      <c r="A11" s="39">
        <v>10</v>
      </c>
      <c r="B11" s="40" t="s">
        <v>165</v>
      </c>
      <c r="C11" s="40" t="s">
        <v>166</v>
      </c>
      <c r="D11" s="41">
        <v>3</v>
      </c>
      <c r="E11" s="40" t="s">
        <v>165</v>
      </c>
      <c r="F11" s="40" t="s">
        <v>166</v>
      </c>
      <c r="G11" s="41">
        <v>4</v>
      </c>
      <c r="H11" s="50">
        <v>1000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zoomScale="75" workbookViewId="0">
      <selection activeCell="F2" sqref="F2"/>
    </sheetView>
  </sheetViews>
  <sheetFormatPr baseColWidth="10" defaultRowHeight="15"/>
  <cols>
    <col min="2" max="2" width="18.33203125" style="57" customWidth="1"/>
    <col min="3" max="3" width="93" style="57" customWidth="1"/>
    <col min="5" max="5" width="19.6640625" style="57" customWidth="1"/>
    <col min="6" max="6" width="92.33203125" style="57" customWidth="1"/>
    <col min="7" max="7" width="19" style="57" bestFit="1" customWidth="1"/>
    <col min="8" max="8" width="19.1640625" style="57" customWidth="1"/>
  </cols>
  <sheetData>
    <row r="1" spans="1:8" ht="38" customHeight="1">
      <c r="A1" s="38" t="s">
        <v>139</v>
      </c>
      <c r="B1" s="38" t="s">
        <v>140</v>
      </c>
      <c r="C1" s="38" t="s">
        <v>141</v>
      </c>
      <c r="D1" s="38" t="s">
        <v>142</v>
      </c>
      <c r="E1" s="38" t="s">
        <v>140</v>
      </c>
      <c r="F1" s="38" t="s">
        <v>141</v>
      </c>
      <c r="G1" s="38" t="s">
        <v>143</v>
      </c>
      <c r="H1" s="38" t="s">
        <v>144</v>
      </c>
    </row>
    <row r="2" spans="1:8" ht="49" customHeight="1">
      <c r="A2" s="39">
        <v>1</v>
      </c>
      <c r="B2" s="40" t="s">
        <v>167</v>
      </c>
      <c r="C2" s="40" t="s">
        <v>168</v>
      </c>
      <c r="D2" s="41">
        <v>2</v>
      </c>
      <c r="E2" s="40" t="s">
        <v>167</v>
      </c>
      <c r="F2" s="40" t="s">
        <v>168</v>
      </c>
      <c r="G2" s="56">
        <v>6</v>
      </c>
      <c r="H2" s="55">
        <v>6490</v>
      </c>
    </row>
    <row r="3" spans="1:8" ht="49" customHeight="1">
      <c r="A3" s="39">
        <v>2</v>
      </c>
      <c r="B3" s="40" t="s">
        <v>169</v>
      </c>
      <c r="C3" s="40" t="s">
        <v>170</v>
      </c>
      <c r="D3" s="41">
        <v>1</v>
      </c>
      <c r="E3" s="40" t="s">
        <v>171</v>
      </c>
      <c r="F3" s="40" t="s">
        <v>172</v>
      </c>
      <c r="G3" s="56">
        <v>2</v>
      </c>
      <c r="H3" s="55">
        <v>1380</v>
      </c>
    </row>
    <row r="4" spans="1:8" ht="49" customHeight="1">
      <c r="A4" s="39">
        <v>3</v>
      </c>
      <c r="B4" s="40" t="s">
        <v>173</v>
      </c>
      <c r="C4" s="40" t="s">
        <v>174</v>
      </c>
      <c r="D4" s="41">
        <v>1</v>
      </c>
      <c r="E4" s="40" t="s">
        <v>175</v>
      </c>
      <c r="F4" s="40" t="s">
        <v>176</v>
      </c>
      <c r="G4" s="56">
        <v>2</v>
      </c>
      <c r="H4" s="55">
        <v>2304</v>
      </c>
    </row>
    <row r="5" spans="1:8" ht="49" customHeight="1">
      <c r="A5" s="39">
        <v>4</v>
      </c>
      <c r="B5" s="40" t="s">
        <v>177</v>
      </c>
      <c r="C5" s="40" t="s">
        <v>178</v>
      </c>
      <c r="D5" s="41">
        <v>1</v>
      </c>
      <c r="E5" s="40" t="s">
        <v>179</v>
      </c>
      <c r="F5" s="40" t="s">
        <v>180</v>
      </c>
      <c r="G5" s="56">
        <v>2</v>
      </c>
      <c r="H5" s="55">
        <v>1242</v>
      </c>
    </row>
    <row r="6" spans="1:8" ht="49" customHeight="1">
      <c r="A6" s="39">
        <v>5</v>
      </c>
      <c r="B6" s="40" t="s">
        <v>171</v>
      </c>
      <c r="C6" s="40" t="s">
        <v>172</v>
      </c>
      <c r="D6" s="41">
        <v>1</v>
      </c>
      <c r="E6" s="40" t="s">
        <v>169</v>
      </c>
      <c r="F6" s="40" t="s">
        <v>170</v>
      </c>
      <c r="G6" s="56">
        <v>1</v>
      </c>
      <c r="H6" s="55">
        <v>621</v>
      </c>
    </row>
    <row r="7" spans="1:8" ht="49" customHeight="1">
      <c r="A7" s="39">
        <v>6</v>
      </c>
      <c r="B7" s="40" t="s">
        <v>181</v>
      </c>
      <c r="C7" s="40" t="s">
        <v>182</v>
      </c>
      <c r="D7" s="41">
        <v>1</v>
      </c>
      <c r="E7" s="40" t="s">
        <v>173</v>
      </c>
      <c r="F7" s="40" t="s">
        <v>174</v>
      </c>
      <c r="G7" s="56">
        <v>1</v>
      </c>
      <c r="H7" s="55">
        <v>801</v>
      </c>
    </row>
    <row r="8" spans="1:8" ht="49" customHeight="1">
      <c r="A8" s="39">
        <v>7</v>
      </c>
      <c r="B8" s="40" t="s">
        <v>183</v>
      </c>
      <c r="C8" s="40" t="s">
        <v>184</v>
      </c>
      <c r="D8" s="41">
        <v>1</v>
      </c>
      <c r="E8" s="40" t="s">
        <v>177</v>
      </c>
      <c r="F8" s="40" t="s">
        <v>178</v>
      </c>
      <c r="G8" s="56">
        <v>1</v>
      </c>
      <c r="H8" s="55">
        <v>1180</v>
      </c>
    </row>
    <row r="9" spans="1:8" ht="49" customHeight="1">
      <c r="A9" s="39">
        <v>8</v>
      </c>
      <c r="B9" s="40" t="s">
        <v>185</v>
      </c>
      <c r="C9" s="40" t="s">
        <v>186</v>
      </c>
      <c r="D9" s="41">
        <v>1</v>
      </c>
      <c r="E9" s="40" t="s">
        <v>181</v>
      </c>
      <c r="F9" s="40" t="s">
        <v>182</v>
      </c>
      <c r="G9" s="56">
        <v>1</v>
      </c>
      <c r="H9" s="55">
        <v>1152</v>
      </c>
    </row>
    <row r="10" spans="1:8" ht="49" customHeight="1">
      <c r="A10" s="39">
        <v>9</v>
      </c>
      <c r="B10" s="40" t="s">
        <v>187</v>
      </c>
      <c r="C10" s="40" t="s">
        <v>188</v>
      </c>
      <c r="D10" s="41">
        <v>1</v>
      </c>
      <c r="E10" s="40" t="s">
        <v>183</v>
      </c>
      <c r="F10" s="40" t="s">
        <v>184</v>
      </c>
      <c r="G10" s="56">
        <v>1</v>
      </c>
      <c r="H10" s="55">
        <v>1115</v>
      </c>
    </row>
    <row r="11" spans="1:8" ht="49" customHeight="1">
      <c r="A11" s="39">
        <v>10</v>
      </c>
      <c r="B11" s="40" t="s">
        <v>189</v>
      </c>
      <c r="C11" s="40" t="s">
        <v>190</v>
      </c>
      <c r="D11" s="41">
        <v>1</v>
      </c>
      <c r="E11" s="40" t="s">
        <v>185</v>
      </c>
      <c r="F11" s="40" t="s">
        <v>186</v>
      </c>
      <c r="G11" s="56">
        <v>1</v>
      </c>
      <c r="H11" s="55">
        <v>981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818D-D5FA-8A43-8DEB-4615C0D4BA84}">
  <dimension ref="A1:AA12"/>
  <sheetViews>
    <sheetView workbookViewId="0">
      <selection activeCell="P18" sqref="P18"/>
    </sheetView>
  </sheetViews>
  <sheetFormatPr baseColWidth="10" defaultRowHeight="15"/>
  <sheetData>
    <row r="1" spans="1:27" ht="42">
      <c r="A1" s="106" t="s">
        <v>240</v>
      </c>
      <c r="B1" s="106" t="s">
        <v>203</v>
      </c>
      <c r="C1" s="106" t="s">
        <v>241</v>
      </c>
      <c r="D1" s="106" t="s">
        <v>206</v>
      </c>
      <c r="E1" s="108" t="s">
        <v>246</v>
      </c>
      <c r="F1" s="108" t="s">
        <v>247</v>
      </c>
      <c r="G1" s="106" t="s">
        <v>210</v>
      </c>
      <c r="H1" s="106" t="s">
        <v>241</v>
      </c>
      <c r="I1" s="106" t="s">
        <v>206</v>
      </c>
      <c r="J1" s="108" t="s">
        <v>248</v>
      </c>
      <c r="K1" s="108" t="s">
        <v>247</v>
      </c>
      <c r="L1" s="106" t="s">
        <v>207</v>
      </c>
      <c r="M1" s="106" t="s">
        <v>241</v>
      </c>
      <c r="N1" s="106" t="s">
        <v>206</v>
      </c>
      <c r="O1" s="108" t="s">
        <v>249</v>
      </c>
      <c r="P1" s="106" t="s">
        <v>245</v>
      </c>
      <c r="Q1" s="106" t="s">
        <v>214</v>
      </c>
      <c r="R1" s="106" t="s">
        <v>241</v>
      </c>
      <c r="S1" s="106" t="s">
        <v>206</v>
      </c>
      <c r="T1" s="108" t="s">
        <v>250</v>
      </c>
      <c r="U1" s="106" t="s">
        <v>245</v>
      </c>
      <c r="V1" s="106" t="s">
        <v>217</v>
      </c>
      <c r="W1" s="106" t="s">
        <v>241</v>
      </c>
      <c r="X1" s="106" t="s">
        <v>206</v>
      </c>
      <c r="Y1" s="108" t="s">
        <v>251</v>
      </c>
      <c r="Z1" s="106" t="s">
        <v>245</v>
      </c>
      <c r="AA1" s="108" t="s">
        <v>252</v>
      </c>
    </row>
    <row r="2" spans="1:27" ht="20">
      <c r="A2" s="106" t="s">
        <v>4</v>
      </c>
      <c r="B2" s="106">
        <v>0</v>
      </c>
      <c r="C2" s="106">
        <v>0</v>
      </c>
      <c r="D2" s="106"/>
      <c r="E2" s="106">
        <v>0</v>
      </c>
      <c r="F2" s="106"/>
      <c r="G2" s="106">
        <v>0</v>
      </c>
      <c r="H2" s="106">
        <v>0</v>
      </c>
      <c r="I2" s="106"/>
      <c r="J2" s="106">
        <v>0</v>
      </c>
      <c r="K2" s="106"/>
      <c r="L2" s="106">
        <v>0</v>
      </c>
      <c r="M2" s="106">
        <v>0</v>
      </c>
      <c r="N2" s="106"/>
      <c r="O2" s="106">
        <v>0</v>
      </c>
      <c r="P2" s="106"/>
      <c r="Q2" s="106">
        <v>0</v>
      </c>
      <c r="R2" s="106">
        <v>0</v>
      </c>
      <c r="S2" s="106"/>
      <c r="T2" s="106">
        <v>0</v>
      </c>
      <c r="U2" s="106"/>
      <c r="V2" s="106">
        <v>0</v>
      </c>
      <c r="W2" s="106">
        <v>0</v>
      </c>
      <c r="X2" s="106"/>
      <c r="Y2" s="106">
        <v>0</v>
      </c>
      <c r="Z2" s="106"/>
      <c r="AA2" s="106"/>
    </row>
    <row r="3" spans="1:27" ht="20">
      <c r="A3" s="106" t="s">
        <v>6</v>
      </c>
      <c r="B3" s="106">
        <v>0</v>
      </c>
      <c r="C3" s="106">
        <v>0</v>
      </c>
      <c r="D3" s="107"/>
      <c r="E3" s="106">
        <v>0</v>
      </c>
      <c r="F3" s="107"/>
      <c r="G3" s="106">
        <v>1</v>
      </c>
      <c r="H3" s="106">
        <v>4</v>
      </c>
      <c r="I3" s="107">
        <v>4</v>
      </c>
      <c r="J3" s="106">
        <v>1</v>
      </c>
      <c r="K3" s="107">
        <v>0.5</v>
      </c>
      <c r="L3" s="106">
        <v>3</v>
      </c>
      <c r="M3" s="106">
        <v>7</v>
      </c>
      <c r="N3" s="107">
        <v>2.33</v>
      </c>
      <c r="O3" s="106">
        <v>0</v>
      </c>
      <c r="P3" s="107">
        <v>0</v>
      </c>
      <c r="Q3" s="106">
        <v>2</v>
      </c>
      <c r="R3" s="106">
        <v>6</v>
      </c>
      <c r="S3" s="107">
        <v>3</v>
      </c>
      <c r="T3" s="106">
        <v>1</v>
      </c>
      <c r="U3" s="107">
        <v>0.33</v>
      </c>
      <c r="V3" s="106">
        <v>1</v>
      </c>
      <c r="W3" s="106">
        <v>2</v>
      </c>
      <c r="X3" s="107">
        <v>2</v>
      </c>
      <c r="Y3" s="106">
        <v>1</v>
      </c>
      <c r="Z3" s="107">
        <v>0.5</v>
      </c>
      <c r="AA3" s="107">
        <v>2.71</v>
      </c>
    </row>
    <row r="4" spans="1:27" ht="20">
      <c r="A4" s="106" t="s">
        <v>8</v>
      </c>
      <c r="B4" s="106">
        <v>0</v>
      </c>
      <c r="C4" s="106">
        <v>0</v>
      </c>
      <c r="D4" s="106"/>
      <c r="E4" s="106">
        <v>0</v>
      </c>
      <c r="F4" s="106"/>
      <c r="G4" s="106">
        <v>5</v>
      </c>
      <c r="H4" s="106">
        <v>16</v>
      </c>
      <c r="I4" s="107">
        <v>3.2</v>
      </c>
      <c r="J4" s="106">
        <v>0</v>
      </c>
      <c r="K4" s="107">
        <v>0</v>
      </c>
      <c r="L4" s="106">
        <v>0</v>
      </c>
      <c r="M4" s="106">
        <v>0</v>
      </c>
      <c r="N4" s="106"/>
      <c r="O4" s="106">
        <v>0</v>
      </c>
      <c r="P4" s="106"/>
      <c r="Q4" s="106">
        <v>0</v>
      </c>
      <c r="R4" s="106">
        <v>1</v>
      </c>
      <c r="S4" s="106"/>
      <c r="T4" s="106">
        <v>0</v>
      </c>
      <c r="U4" s="106"/>
      <c r="V4" s="106">
        <v>0</v>
      </c>
      <c r="W4" s="106">
        <v>0</v>
      </c>
      <c r="X4" s="106"/>
      <c r="Y4" s="106">
        <v>0</v>
      </c>
      <c r="Z4" s="106"/>
      <c r="AA4" s="107">
        <v>3.4</v>
      </c>
    </row>
    <row r="5" spans="1:27" ht="20">
      <c r="A5" s="106" t="s">
        <v>10</v>
      </c>
      <c r="B5" s="106">
        <v>1</v>
      </c>
      <c r="C5" s="106">
        <v>4</v>
      </c>
      <c r="D5" s="107">
        <v>4</v>
      </c>
      <c r="E5" s="106">
        <v>0</v>
      </c>
      <c r="F5" s="107">
        <v>0</v>
      </c>
      <c r="G5" s="106">
        <v>2</v>
      </c>
      <c r="H5" s="106">
        <v>9</v>
      </c>
      <c r="I5" s="107">
        <v>4.5</v>
      </c>
      <c r="J5" s="106">
        <v>2</v>
      </c>
      <c r="K5" s="107">
        <v>0.5</v>
      </c>
      <c r="L5" s="106">
        <v>1</v>
      </c>
      <c r="M5" s="106">
        <v>1</v>
      </c>
      <c r="N5" s="107">
        <v>1</v>
      </c>
      <c r="O5" s="106">
        <v>0</v>
      </c>
      <c r="P5" s="107">
        <v>0</v>
      </c>
      <c r="Q5" s="106">
        <v>0</v>
      </c>
      <c r="R5" s="106">
        <v>0</v>
      </c>
      <c r="S5" s="106"/>
      <c r="T5" s="106">
        <v>2</v>
      </c>
      <c r="U5" s="107">
        <v>1</v>
      </c>
      <c r="V5" s="106">
        <v>1</v>
      </c>
      <c r="W5" s="106">
        <v>2</v>
      </c>
      <c r="X5" s="107">
        <v>2</v>
      </c>
      <c r="Y5" s="106">
        <v>5</v>
      </c>
      <c r="Z5" s="107">
        <v>0.83</v>
      </c>
      <c r="AA5" s="107">
        <v>3.2</v>
      </c>
    </row>
    <row r="6" spans="1:27" ht="20">
      <c r="A6" s="106" t="s">
        <v>12</v>
      </c>
      <c r="B6" s="106">
        <v>0</v>
      </c>
      <c r="C6" s="106">
        <v>0</v>
      </c>
      <c r="D6" s="106"/>
      <c r="E6" s="106">
        <v>0</v>
      </c>
      <c r="F6" s="106"/>
      <c r="G6" s="106">
        <v>3</v>
      </c>
      <c r="H6" s="106">
        <v>9</v>
      </c>
      <c r="I6" s="107">
        <v>3</v>
      </c>
      <c r="J6" s="106">
        <v>2</v>
      </c>
      <c r="K6" s="107">
        <v>0.4</v>
      </c>
      <c r="L6" s="106">
        <v>2</v>
      </c>
      <c r="M6" s="106">
        <v>4</v>
      </c>
      <c r="N6" s="107">
        <v>2</v>
      </c>
      <c r="O6" s="106">
        <v>0</v>
      </c>
      <c r="P6" s="107">
        <v>0</v>
      </c>
      <c r="Q6" s="106">
        <v>2</v>
      </c>
      <c r="R6" s="106">
        <v>2</v>
      </c>
      <c r="S6" s="107">
        <v>1</v>
      </c>
      <c r="T6" s="106">
        <v>1</v>
      </c>
      <c r="U6" s="107">
        <v>0.33</v>
      </c>
      <c r="V6" s="106">
        <v>1</v>
      </c>
      <c r="W6" s="106">
        <v>1</v>
      </c>
      <c r="X6" s="107">
        <v>1</v>
      </c>
      <c r="Y6" s="106">
        <v>5</v>
      </c>
      <c r="Z6" s="107">
        <v>0.83</v>
      </c>
      <c r="AA6" s="107">
        <v>2</v>
      </c>
    </row>
    <row r="7" spans="1:27" ht="20">
      <c r="A7" s="106" t="s">
        <v>14</v>
      </c>
      <c r="B7" s="106">
        <v>1</v>
      </c>
      <c r="C7" s="106">
        <v>2</v>
      </c>
      <c r="D7" s="107">
        <v>2</v>
      </c>
      <c r="E7" s="106">
        <v>0</v>
      </c>
      <c r="F7" s="107">
        <v>0</v>
      </c>
      <c r="G7" s="106">
        <v>3</v>
      </c>
      <c r="H7" s="106">
        <v>8</v>
      </c>
      <c r="I7" s="107">
        <v>2.67</v>
      </c>
      <c r="J7" s="106">
        <v>0</v>
      </c>
      <c r="K7" s="107">
        <v>0</v>
      </c>
      <c r="L7" s="106">
        <v>2</v>
      </c>
      <c r="M7" s="106">
        <v>4</v>
      </c>
      <c r="N7" s="107">
        <v>2</v>
      </c>
      <c r="O7" s="106">
        <v>2</v>
      </c>
      <c r="P7" s="107">
        <v>0.5</v>
      </c>
      <c r="Q7" s="106">
        <v>0</v>
      </c>
      <c r="R7" s="106">
        <v>0</v>
      </c>
      <c r="S7" s="107"/>
      <c r="T7" s="106">
        <v>0</v>
      </c>
      <c r="U7" s="107"/>
      <c r="V7" s="106">
        <v>1</v>
      </c>
      <c r="W7" s="106">
        <v>2</v>
      </c>
      <c r="X7" s="107">
        <v>2</v>
      </c>
      <c r="Y7" s="106">
        <v>0</v>
      </c>
      <c r="Z7" s="107">
        <v>0</v>
      </c>
      <c r="AA7" s="107">
        <v>2.29</v>
      </c>
    </row>
    <row r="8" spans="1:27" ht="20">
      <c r="A8" s="106" t="s">
        <v>16</v>
      </c>
      <c r="B8" s="106">
        <v>0</v>
      </c>
      <c r="C8" s="106">
        <v>0</v>
      </c>
      <c r="D8" s="106"/>
      <c r="E8" s="106">
        <v>0</v>
      </c>
      <c r="F8" s="106"/>
      <c r="G8" s="106">
        <v>3</v>
      </c>
      <c r="H8" s="106">
        <v>16</v>
      </c>
      <c r="I8" s="107">
        <v>5.33</v>
      </c>
      <c r="J8" s="106">
        <v>1</v>
      </c>
      <c r="K8" s="107">
        <v>0.25</v>
      </c>
      <c r="L8" s="106">
        <v>3</v>
      </c>
      <c r="M8" s="106">
        <v>9</v>
      </c>
      <c r="N8" s="107">
        <v>3</v>
      </c>
      <c r="O8" s="106">
        <v>0</v>
      </c>
      <c r="P8" s="107">
        <v>0</v>
      </c>
      <c r="Q8" s="106">
        <v>1</v>
      </c>
      <c r="R8" s="106">
        <v>3</v>
      </c>
      <c r="S8" s="107">
        <v>3</v>
      </c>
      <c r="T8" s="106">
        <v>0</v>
      </c>
      <c r="U8" s="107">
        <v>0</v>
      </c>
      <c r="V8" s="106">
        <v>0</v>
      </c>
      <c r="W8" s="106">
        <v>0</v>
      </c>
      <c r="X8" s="106"/>
      <c r="Y8" s="106">
        <v>1</v>
      </c>
      <c r="Z8" s="107">
        <v>1</v>
      </c>
      <c r="AA8" s="107">
        <v>4</v>
      </c>
    </row>
    <row r="9" spans="1:27" ht="20">
      <c r="A9" s="106" t="s">
        <v>32</v>
      </c>
      <c r="B9" s="106">
        <v>2</v>
      </c>
      <c r="C9" s="106">
        <v>6</v>
      </c>
      <c r="D9" s="107">
        <v>3</v>
      </c>
      <c r="E9" s="106">
        <v>0</v>
      </c>
      <c r="F9" s="107">
        <v>0</v>
      </c>
      <c r="G9" s="106">
        <v>17</v>
      </c>
      <c r="H9" s="106">
        <v>62</v>
      </c>
      <c r="I9" s="107">
        <v>3.65</v>
      </c>
      <c r="J9" s="106">
        <v>6</v>
      </c>
      <c r="K9" s="107">
        <v>0.26</v>
      </c>
      <c r="L9" s="106">
        <v>11</v>
      </c>
      <c r="M9" s="106">
        <v>25</v>
      </c>
      <c r="N9" s="107">
        <v>2.27</v>
      </c>
      <c r="O9" s="106">
        <v>2</v>
      </c>
      <c r="P9" s="107">
        <v>0.15</v>
      </c>
      <c r="Q9" s="106">
        <v>5</v>
      </c>
      <c r="R9" s="106">
        <v>12</v>
      </c>
      <c r="S9" s="107">
        <v>2.4</v>
      </c>
      <c r="T9" s="106">
        <v>4</v>
      </c>
      <c r="U9" s="107">
        <v>0.44</v>
      </c>
      <c r="V9" s="106">
        <v>4</v>
      </c>
      <c r="W9" s="106">
        <v>7</v>
      </c>
      <c r="X9" s="107">
        <v>1.75</v>
      </c>
      <c r="Y9" s="106">
        <v>12</v>
      </c>
      <c r="Z9" s="107">
        <v>0.75</v>
      </c>
      <c r="AA9" s="107">
        <v>2.87</v>
      </c>
    </row>
    <row r="10" spans="1:27" ht="20">
      <c r="A10" s="106" t="s">
        <v>253</v>
      </c>
      <c r="B10" s="106">
        <v>23</v>
      </c>
      <c r="C10" s="106">
        <v>75</v>
      </c>
      <c r="D10" s="107">
        <v>3.26</v>
      </c>
      <c r="E10" s="106">
        <v>11</v>
      </c>
      <c r="F10" s="107">
        <v>0.32</v>
      </c>
      <c r="G10" s="106">
        <v>81</v>
      </c>
      <c r="H10" s="106">
        <v>295</v>
      </c>
      <c r="I10" s="107">
        <v>3.64</v>
      </c>
      <c r="J10" s="106">
        <v>45</v>
      </c>
      <c r="K10" s="107">
        <v>0.36</v>
      </c>
      <c r="L10" s="106">
        <v>51</v>
      </c>
      <c r="M10" s="106">
        <v>122</v>
      </c>
      <c r="N10" s="107">
        <v>2.39</v>
      </c>
      <c r="O10" s="106">
        <v>6</v>
      </c>
      <c r="P10" s="107">
        <v>0.11</v>
      </c>
      <c r="Q10" s="106">
        <v>37</v>
      </c>
      <c r="R10" s="106">
        <v>63</v>
      </c>
      <c r="S10" s="107">
        <v>1.7</v>
      </c>
      <c r="T10" s="106">
        <v>24</v>
      </c>
      <c r="U10" s="107">
        <v>0.39</v>
      </c>
      <c r="V10" s="106">
        <v>45</v>
      </c>
      <c r="W10" s="106">
        <v>86</v>
      </c>
      <c r="X10" s="107">
        <v>1.91</v>
      </c>
      <c r="Y10" s="106">
        <v>53</v>
      </c>
      <c r="Z10" s="107">
        <v>0.54</v>
      </c>
      <c r="AA10" s="107">
        <v>2.7</v>
      </c>
    </row>
    <row r="11" spans="1:27" ht="20">
      <c r="A11" s="106" t="s">
        <v>254</v>
      </c>
      <c r="B11" s="106">
        <v>14</v>
      </c>
      <c r="C11" s="106">
        <v>39</v>
      </c>
      <c r="D11" s="107">
        <v>2.79</v>
      </c>
      <c r="E11" s="106">
        <v>14</v>
      </c>
      <c r="F11" s="107">
        <v>0.5</v>
      </c>
      <c r="G11" s="106">
        <v>62</v>
      </c>
      <c r="H11" s="106">
        <v>220</v>
      </c>
      <c r="I11" s="107">
        <v>3.55</v>
      </c>
      <c r="J11" s="106">
        <v>43</v>
      </c>
      <c r="K11" s="107">
        <v>0.41</v>
      </c>
      <c r="L11" s="106">
        <v>56</v>
      </c>
      <c r="M11" s="106">
        <v>156</v>
      </c>
      <c r="N11" s="107">
        <v>2.79</v>
      </c>
      <c r="O11" s="106">
        <v>12</v>
      </c>
      <c r="P11" s="107">
        <v>0.18</v>
      </c>
      <c r="Q11" s="106">
        <v>30</v>
      </c>
      <c r="R11" s="106">
        <v>51</v>
      </c>
      <c r="S11" s="107">
        <v>1.7</v>
      </c>
      <c r="T11" s="106">
        <v>14</v>
      </c>
      <c r="U11" s="107">
        <v>0.32</v>
      </c>
      <c r="V11" s="106">
        <v>37</v>
      </c>
      <c r="W11" s="106">
        <v>74</v>
      </c>
      <c r="X11" s="107">
        <v>2</v>
      </c>
      <c r="Y11" s="106">
        <v>26</v>
      </c>
      <c r="Z11" s="107">
        <v>0.41</v>
      </c>
      <c r="AA11" s="107">
        <v>2.71</v>
      </c>
    </row>
    <row r="12" spans="1:27" ht="20">
      <c r="A12" s="106" t="s">
        <v>255</v>
      </c>
      <c r="B12" s="106">
        <v>12</v>
      </c>
      <c r="C12" s="106">
        <v>36</v>
      </c>
      <c r="D12" s="107">
        <v>3</v>
      </c>
      <c r="E12" s="106">
        <v>8</v>
      </c>
      <c r="F12" s="107">
        <v>0.4</v>
      </c>
      <c r="G12" s="106">
        <v>79</v>
      </c>
      <c r="H12" s="106">
        <v>243</v>
      </c>
      <c r="I12" s="107">
        <v>3.08</v>
      </c>
      <c r="J12" s="106">
        <v>56</v>
      </c>
      <c r="K12" s="107">
        <v>0.41</v>
      </c>
      <c r="L12" s="106">
        <v>32</v>
      </c>
      <c r="M12" s="106">
        <v>87</v>
      </c>
      <c r="N12" s="107">
        <v>2.72</v>
      </c>
      <c r="O12" s="106">
        <v>9</v>
      </c>
      <c r="P12" s="107">
        <v>0.22</v>
      </c>
      <c r="Q12" s="106">
        <v>29</v>
      </c>
      <c r="R12" s="106">
        <v>45</v>
      </c>
      <c r="S12" s="107">
        <v>1.55</v>
      </c>
      <c r="T12" s="106">
        <v>7</v>
      </c>
      <c r="U12" s="107">
        <v>0.19</v>
      </c>
      <c r="V12" s="106">
        <v>48</v>
      </c>
      <c r="W12" s="106">
        <v>89</v>
      </c>
      <c r="X12" s="107">
        <v>1.85</v>
      </c>
      <c r="Y12" s="106">
        <v>47</v>
      </c>
      <c r="Z12" s="107">
        <v>0.49</v>
      </c>
      <c r="AA12" s="107">
        <v>2.5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A232-5E95-C647-A997-36B73C051D99}">
  <dimension ref="A1:AA12"/>
  <sheetViews>
    <sheetView tabSelected="1" workbookViewId="0">
      <selection activeCell="J25" sqref="J25"/>
    </sheetView>
  </sheetViews>
  <sheetFormatPr baseColWidth="10" defaultRowHeight="15"/>
  <sheetData>
    <row r="1" spans="1:27" ht="43" customHeight="1">
      <c r="A1" s="106" t="s">
        <v>240</v>
      </c>
      <c r="B1" s="106" t="s">
        <v>203</v>
      </c>
      <c r="C1" s="106" t="s">
        <v>241</v>
      </c>
      <c r="D1" s="106" t="s">
        <v>206</v>
      </c>
      <c r="E1" s="108" t="s">
        <v>246</v>
      </c>
      <c r="F1" s="108" t="s">
        <v>247</v>
      </c>
      <c r="G1" s="106" t="s">
        <v>210</v>
      </c>
      <c r="H1" s="106" t="s">
        <v>241</v>
      </c>
      <c r="I1" s="106" t="s">
        <v>206</v>
      </c>
      <c r="J1" s="108" t="s">
        <v>248</v>
      </c>
      <c r="K1" s="108" t="s">
        <v>247</v>
      </c>
      <c r="L1" s="106" t="s">
        <v>207</v>
      </c>
      <c r="M1" s="106" t="s">
        <v>241</v>
      </c>
      <c r="N1" s="106" t="s">
        <v>206</v>
      </c>
      <c r="O1" s="108" t="s">
        <v>249</v>
      </c>
      <c r="P1" s="106" t="s">
        <v>245</v>
      </c>
      <c r="Q1" s="106" t="s">
        <v>214</v>
      </c>
      <c r="R1" s="106" t="s">
        <v>241</v>
      </c>
      <c r="S1" s="106" t="s">
        <v>206</v>
      </c>
      <c r="T1" s="108" t="s">
        <v>250</v>
      </c>
      <c r="U1" s="106" t="s">
        <v>245</v>
      </c>
      <c r="V1" s="106" t="s">
        <v>217</v>
      </c>
      <c r="W1" s="106" t="s">
        <v>241</v>
      </c>
      <c r="X1" s="106" t="s">
        <v>206</v>
      </c>
      <c r="Y1" s="108" t="s">
        <v>251</v>
      </c>
      <c r="Z1" s="106" t="s">
        <v>245</v>
      </c>
      <c r="AA1" s="108" t="s">
        <v>252</v>
      </c>
    </row>
    <row r="2" spans="1:27" ht="20">
      <c r="A2" s="106" t="s">
        <v>4</v>
      </c>
      <c r="B2" s="106">
        <v>0</v>
      </c>
      <c r="C2" s="106">
        <v>0</v>
      </c>
      <c r="D2" s="106"/>
      <c r="E2" s="106">
        <v>0</v>
      </c>
      <c r="F2" s="106"/>
      <c r="G2" s="106">
        <v>0</v>
      </c>
      <c r="H2" s="106">
        <v>0</v>
      </c>
      <c r="I2" s="106"/>
      <c r="J2" s="106">
        <v>0</v>
      </c>
      <c r="K2" s="106"/>
      <c r="L2" s="106">
        <v>0</v>
      </c>
      <c r="M2" s="106">
        <v>0</v>
      </c>
      <c r="N2" s="106"/>
      <c r="O2" s="106">
        <v>0</v>
      </c>
      <c r="P2" s="106"/>
      <c r="Q2" s="106">
        <v>0</v>
      </c>
      <c r="R2" s="106">
        <v>0</v>
      </c>
      <c r="S2" s="106"/>
      <c r="T2" s="106">
        <v>0</v>
      </c>
      <c r="U2" s="106"/>
      <c r="V2" s="106">
        <v>0</v>
      </c>
      <c r="W2" s="106">
        <v>0</v>
      </c>
      <c r="X2" s="106"/>
      <c r="Y2" s="106">
        <v>0</v>
      </c>
      <c r="Z2" s="106"/>
      <c r="AA2" s="106"/>
    </row>
    <row r="3" spans="1:27" ht="20">
      <c r="A3" s="106" t="s">
        <v>6</v>
      </c>
      <c r="B3" s="106">
        <v>1</v>
      </c>
      <c r="C3" s="106">
        <v>8</v>
      </c>
      <c r="D3" s="107">
        <v>8</v>
      </c>
      <c r="E3" s="106">
        <v>1</v>
      </c>
      <c r="F3" s="107">
        <v>0.5</v>
      </c>
      <c r="G3" s="106">
        <v>1</v>
      </c>
      <c r="H3" s="106">
        <v>4</v>
      </c>
      <c r="I3" s="107">
        <v>4</v>
      </c>
      <c r="J3" s="106">
        <v>2</v>
      </c>
      <c r="K3" s="107">
        <v>0.67</v>
      </c>
      <c r="L3" s="106">
        <v>3</v>
      </c>
      <c r="M3" s="106">
        <v>7</v>
      </c>
      <c r="N3" s="107">
        <v>2.33</v>
      </c>
      <c r="O3" s="106">
        <v>0</v>
      </c>
      <c r="P3" s="107">
        <v>0</v>
      </c>
      <c r="Q3" s="106">
        <v>2</v>
      </c>
      <c r="R3" s="106">
        <v>6</v>
      </c>
      <c r="S3" s="107">
        <v>3</v>
      </c>
      <c r="T3" s="106">
        <v>1</v>
      </c>
      <c r="U3" s="107">
        <v>0.33</v>
      </c>
      <c r="V3" s="106">
        <v>2</v>
      </c>
      <c r="W3" s="106">
        <v>3</v>
      </c>
      <c r="X3" s="107">
        <v>1.5</v>
      </c>
      <c r="Y3" s="106">
        <v>1</v>
      </c>
      <c r="Z3" s="107">
        <v>0.33</v>
      </c>
      <c r="AA3" s="107">
        <v>3.11</v>
      </c>
    </row>
    <row r="4" spans="1:27" ht="20">
      <c r="A4" s="106" t="s">
        <v>8</v>
      </c>
      <c r="B4" s="106">
        <v>0</v>
      </c>
      <c r="C4" s="106">
        <v>0</v>
      </c>
      <c r="D4" s="106"/>
      <c r="E4" s="106">
        <v>0</v>
      </c>
      <c r="F4" s="106"/>
      <c r="G4" s="106">
        <v>6</v>
      </c>
      <c r="H4" s="106">
        <v>20</v>
      </c>
      <c r="I4" s="107">
        <v>3.33</v>
      </c>
      <c r="J4" s="106">
        <v>0</v>
      </c>
      <c r="K4" s="107">
        <v>0</v>
      </c>
      <c r="L4" s="106">
        <v>0</v>
      </c>
      <c r="M4" s="106">
        <v>0</v>
      </c>
      <c r="N4" s="106"/>
      <c r="O4" s="106">
        <v>0</v>
      </c>
      <c r="P4" s="106"/>
      <c r="Q4" s="106">
        <v>0</v>
      </c>
      <c r="R4" s="106">
        <v>1</v>
      </c>
      <c r="S4" s="106"/>
      <c r="T4" s="106">
        <v>0</v>
      </c>
      <c r="U4" s="106"/>
      <c r="V4" s="106">
        <v>0</v>
      </c>
      <c r="W4" s="106">
        <v>0</v>
      </c>
      <c r="X4" s="106"/>
      <c r="Y4" s="106">
        <v>0</v>
      </c>
      <c r="Z4" s="106"/>
      <c r="AA4" s="107">
        <v>3.5</v>
      </c>
    </row>
    <row r="5" spans="1:27" ht="20">
      <c r="A5" s="106" t="s">
        <v>10</v>
      </c>
      <c r="B5" s="106">
        <v>1</v>
      </c>
      <c r="C5" s="106">
        <v>4</v>
      </c>
      <c r="D5" s="107">
        <v>4</v>
      </c>
      <c r="E5" s="106">
        <v>0</v>
      </c>
      <c r="F5" s="107">
        <v>0</v>
      </c>
      <c r="G5" s="106">
        <v>2</v>
      </c>
      <c r="H5" s="106">
        <v>9</v>
      </c>
      <c r="I5" s="107">
        <v>4.5</v>
      </c>
      <c r="J5" s="106">
        <v>2</v>
      </c>
      <c r="K5" s="107">
        <v>0.5</v>
      </c>
      <c r="L5" s="106">
        <v>1</v>
      </c>
      <c r="M5" s="106">
        <v>1</v>
      </c>
      <c r="N5" s="107">
        <v>1</v>
      </c>
      <c r="O5" s="106">
        <v>0</v>
      </c>
      <c r="P5" s="107">
        <v>0</v>
      </c>
      <c r="Q5" s="106">
        <v>0</v>
      </c>
      <c r="R5" s="106">
        <v>0</v>
      </c>
      <c r="S5" s="106"/>
      <c r="T5" s="106">
        <v>2</v>
      </c>
      <c r="U5" s="107">
        <v>1</v>
      </c>
      <c r="V5" s="106">
        <v>1</v>
      </c>
      <c r="W5" s="106">
        <v>2</v>
      </c>
      <c r="X5" s="107">
        <v>2</v>
      </c>
      <c r="Y5" s="106">
        <v>5</v>
      </c>
      <c r="Z5" s="107">
        <v>0.83</v>
      </c>
      <c r="AA5" s="107">
        <v>3.2</v>
      </c>
    </row>
    <row r="6" spans="1:27" ht="20">
      <c r="A6" s="106" t="s">
        <v>12</v>
      </c>
      <c r="B6" s="106">
        <v>0</v>
      </c>
      <c r="C6" s="106">
        <v>0</v>
      </c>
      <c r="D6" s="106"/>
      <c r="E6" s="106">
        <v>0</v>
      </c>
      <c r="F6" s="106"/>
      <c r="G6" s="106">
        <v>3</v>
      </c>
      <c r="H6" s="106">
        <v>9</v>
      </c>
      <c r="I6" s="107">
        <v>3</v>
      </c>
      <c r="J6" s="106">
        <v>2</v>
      </c>
      <c r="K6" s="107">
        <v>0.4</v>
      </c>
      <c r="L6" s="106">
        <v>3</v>
      </c>
      <c r="M6" s="106">
        <v>5</v>
      </c>
      <c r="N6" s="107">
        <v>1.67</v>
      </c>
      <c r="O6" s="106">
        <v>0</v>
      </c>
      <c r="P6" s="107">
        <v>0</v>
      </c>
      <c r="Q6" s="106">
        <v>2</v>
      </c>
      <c r="R6" s="106">
        <v>2</v>
      </c>
      <c r="S6" s="107">
        <v>1</v>
      </c>
      <c r="T6" s="106">
        <v>1</v>
      </c>
      <c r="U6" s="107">
        <v>0.33</v>
      </c>
      <c r="V6" s="106">
        <v>2</v>
      </c>
      <c r="W6" s="106">
        <v>4</v>
      </c>
      <c r="X6" s="107">
        <v>2</v>
      </c>
      <c r="Y6" s="106">
        <v>5</v>
      </c>
      <c r="Z6" s="107">
        <v>0.71</v>
      </c>
      <c r="AA6" s="107">
        <v>2</v>
      </c>
    </row>
    <row r="7" spans="1:27" ht="20">
      <c r="A7" s="106" t="s">
        <v>14</v>
      </c>
      <c r="B7" s="106">
        <v>1</v>
      </c>
      <c r="C7" s="106">
        <v>2</v>
      </c>
      <c r="D7" s="107">
        <v>2</v>
      </c>
      <c r="E7" s="106">
        <v>1</v>
      </c>
      <c r="F7" s="107">
        <v>0.5</v>
      </c>
      <c r="G7" s="106">
        <v>4</v>
      </c>
      <c r="H7" s="106">
        <v>10</v>
      </c>
      <c r="I7" s="107">
        <v>2.5</v>
      </c>
      <c r="J7" s="106">
        <v>0</v>
      </c>
      <c r="K7" s="107">
        <v>0</v>
      </c>
      <c r="L7" s="106">
        <v>2</v>
      </c>
      <c r="M7" s="106">
        <v>4</v>
      </c>
      <c r="N7" s="107">
        <v>2</v>
      </c>
      <c r="O7" s="106">
        <v>2</v>
      </c>
      <c r="P7" s="107">
        <v>0.5</v>
      </c>
      <c r="Q7" s="106">
        <v>1</v>
      </c>
      <c r="R7" s="106">
        <v>1</v>
      </c>
      <c r="S7" s="107">
        <v>1</v>
      </c>
      <c r="T7" s="106">
        <v>0</v>
      </c>
      <c r="U7" s="107">
        <v>0</v>
      </c>
      <c r="V7" s="106">
        <v>1</v>
      </c>
      <c r="W7" s="106">
        <v>2</v>
      </c>
      <c r="X7" s="107">
        <v>2</v>
      </c>
      <c r="Y7" s="106">
        <v>0</v>
      </c>
      <c r="Z7" s="107">
        <v>0</v>
      </c>
      <c r="AA7" s="107">
        <v>2.11</v>
      </c>
    </row>
    <row r="8" spans="1:27" ht="20">
      <c r="A8" s="106" t="s">
        <v>16</v>
      </c>
      <c r="B8" s="106">
        <v>0</v>
      </c>
      <c r="C8" s="106">
        <v>0</v>
      </c>
      <c r="D8" s="106"/>
      <c r="E8" s="106">
        <v>0</v>
      </c>
      <c r="F8" s="106"/>
      <c r="G8" s="106">
        <v>4</v>
      </c>
      <c r="H8" s="106">
        <v>24</v>
      </c>
      <c r="I8" s="107">
        <v>6</v>
      </c>
      <c r="J8" s="106">
        <v>1</v>
      </c>
      <c r="K8" s="107">
        <v>0.2</v>
      </c>
      <c r="L8" s="106">
        <v>4</v>
      </c>
      <c r="M8" s="106">
        <v>10</v>
      </c>
      <c r="N8" s="107">
        <v>2.5</v>
      </c>
      <c r="O8" s="106">
        <v>0</v>
      </c>
      <c r="P8" s="107">
        <v>0</v>
      </c>
      <c r="Q8" s="106">
        <v>1</v>
      </c>
      <c r="R8" s="106">
        <v>3</v>
      </c>
      <c r="S8" s="107">
        <v>3</v>
      </c>
      <c r="T8" s="106">
        <v>0</v>
      </c>
      <c r="U8" s="107">
        <v>0</v>
      </c>
      <c r="V8" s="106">
        <v>0</v>
      </c>
      <c r="W8" s="106">
        <v>0</v>
      </c>
      <c r="X8" s="106"/>
      <c r="Y8" s="106">
        <v>2</v>
      </c>
      <c r="Z8" s="107">
        <v>1</v>
      </c>
      <c r="AA8" s="107">
        <v>4.1100000000000003</v>
      </c>
    </row>
    <row r="9" spans="1:27" ht="20">
      <c r="A9" s="106" t="s">
        <v>32</v>
      </c>
      <c r="B9" s="106">
        <v>3</v>
      </c>
      <c r="C9" s="106">
        <v>14</v>
      </c>
      <c r="D9" s="107">
        <v>4.67</v>
      </c>
      <c r="E9" s="106">
        <v>2</v>
      </c>
      <c r="F9" s="107">
        <v>0.4</v>
      </c>
      <c r="G9" s="106">
        <v>20</v>
      </c>
      <c r="H9" s="106">
        <v>76</v>
      </c>
      <c r="I9" s="107">
        <v>3.8</v>
      </c>
      <c r="J9" s="106">
        <v>7</v>
      </c>
      <c r="K9" s="107">
        <v>0.26</v>
      </c>
      <c r="L9" s="106">
        <v>13</v>
      </c>
      <c r="M9" s="106">
        <v>27</v>
      </c>
      <c r="N9" s="107">
        <v>2.08</v>
      </c>
      <c r="O9" s="106">
        <v>2</v>
      </c>
      <c r="P9" s="107">
        <v>0.13</v>
      </c>
      <c r="Q9" s="106">
        <v>6</v>
      </c>
      <c r="R9" s="106">
        <v>13</v>
      </c>
      <c r="S9" s="107">
        <v>2.17</v>
      </c>
      <c r="T9" s="106">
        <v>4</v>
      </c>
      <c r="U9" s="107">
        <v>0.4</v>
      </c>
      <c r="V9" s="106">
        <v>6</v>
      </c>
      <c r="W9" s="106">
        <v>11</v>
      </c>
      <c r="X9" s="107">
        <v>1.83</v>
      </c>
      <c r="Y9" s="106">
        <v>13</v>
      </c>
      <c r="Z9" s="107">
        <v>0.68</v>
      </c>
      <c r="AA9" s="107">
        <v>2.94</v>
      </c>
    </row>
    <row r="10" spans="1:27" ht="20">
      <c r="A10" s="106" t="s">
        <v>244</v>
      </c>
      <c r="B10" s="106">
        <v>6</v>
      </c>
      <c r="C10" s="106">
        <v>22</v>
      </c>
      <c r="D10" s="107">
        <v>3.67</v>
      </c>
      <c r="E10" s="106">
        <v>2</v>
      </c>
      <c r="F10" s="107">
        <v>0.25</v>
      </c>
      <c r="G10" s="106">
        <v>14</v>
      </c>
      <c r="H10" s="106">
        <v>40</v>
      </c>
      <c r="I10" s="107">
        <v>2.86</v>
      </c>
      <c r="J10" s="106">
        <v>5</v>
      </c>
      <c r="K10" s="107">
        <v>0.26</v>
      </c>
      <c r="L10" s="106">
        <v>10</v>
      </c>
      <c r="M10" s="106">
        <v>24</v>
      </c>
      <c r="N10" s="107">
        <v>2.4</v>
      </c>
      <c r="O10" s="106">
        <v>0</v>
      </c>
      <c r="P10" s="107">
        <v>0</v>
      </c>
      <c r="Q10" s="106">
        <v>10</v>
      </c>
      <c r="R10" s="106">
        <v>19</v>
      </c>
      <c r="S10" s="107">
        <v>1.9</v>
      </c>
      <c r="T10" s="106">
        <v>7</v>
      </c>
      <c r="U10" s="107">
        <v>0.41</v>
      </c>
      <c r="V10" s="106">
        <v>11</v>
      </c>
      <c r="W10" s="106">
        <v>22</v>
      </c>
      <c r="X10" s="107">
        <v>2</v>
      </c>
      <c r="Y10" s="106">
        <v>16</v>
      </c>
      <c r="Z10" s="107">
        <v>0.59</v>
      </c>
      <c r="AA10" s="107">
        <v>2.4900000000000002</v>
      </c>
    </row>
    <row r="11" spans="1:27" ht="20">
      <c r="A11" s="106" t="s">
        <v>242</v>
      </c>
      <c r="B11" s="106">
        <v>8</v>
      </c>
      <c r="C11" s="106">
        <v>18</v>
      </c>
      <c r="D11" s="107">
        <v>2.25</v>
      </c>
      <c r="E11" s="106">
        <v>7</v>
      </c>
      <c r="F11" s="107">
        <v>0.47</v>
      </c>
      <c r="G11" s="106">
        <v>14</v>
      </c>
      <c r="H11" s="106">
        <v>54</v>
      </c>
      <c r="I11" s="107">
        <v>3.86</v>
      </c>
      <c r="J11" s="106">
        <v>8</v>
      </c>
      <c r="K11" s="107">
        <v>0.36</v>
      </c>
      <c r="L11" s="106">
        <v>18</v>
      </c>
      <c r="M11" s="106">
        <v>40</v>
      </c>
      <c r="N11" s="107">
        <v>2.2200000000000002</v>
      </c>
      <c r="O11" s="106">
        <v>3</v>
      </c>
      <c r="P11" s="107">
        <v>0.14000000000000001</v>
      </c>
      <c r="Q11" s="106">
        <v>6</v>
      </c>
      <c r="R11" s="106">
        <v>14</v>
      </c>
      <c r="S11" s="107">
        <v>2.33</v>
      </c>
      <c r="T11" s="106">
        <v>5</v>
      </c>
      <c r="U11" s="107">
        <v>0.45</v>
      </c>
      <c r="V11" s="106">
        <v>12</v>
      </c>
      <c r="W11" s="106">
        <v>26</v>
      </c>
      <c r="X11" s="107">
        <v>2.17</v>
      </c>
      <c r="Y11" s="106">
        <v>9</v>
      </c>
      <c r="Z11" s="107">
        <v>0.43</v>
      </c>
      <c r="AA11" s="107">
        <v>2.62</v>
      </c>
    </row>
    <row r="12" spans="1:27" ht="20">
      <c r="A12" s="106" t="s">
        <v>243</v>
      </c>
      <c r="B12" s="106">
        <v>1</v>
      </c>
      <c r="C12" s="106">
        <v>1</v>
      </c>
      <c r="D12" s="107">
        <v>1</v>
      </c>
      <c r="E12" s="106">
        <v>2</v>
      </c>
      <c r="F12" s="107">
        <v>0.67</v>
      </c>
      <c r="G12" s="106">
        <v>17</v>
      </c>
      <c r="H12" s="106">
        <v>62</v>
      </c>
      <c r="I12" s="107">
        <v>3.65</v>
      </c>
      <c r="J12" s="106">
        <v>14</v>
      </c>
      <c r="K12" s="107">
        <v>0.45</v>
      </c>
      <c r="L12" s="106">
        <v>16</v>
      </c>
      <c r="M12" s="106">
        <v>48</v>
      </c>
      <c r="N12" s="107">
        <v>3</v>
      </c>
      <c r="O12" s="106">
        <v>3</v>
      </c>
      <c r="P12" s="107">
        <v>0.16</v>
      </c>
      <c r="Q12" s="106">
        <v>9</v>
      </c>
      <c r="R12" s="106">
        <v>20</v>
      </c>
      <c r="S12" s="107">
        <v>2.2200000000000002</v>
      </c>
      <c r="T12" s="106">
        <v>2</v>
      </c>
      <c r="U12" s="107">
        <v>0.18</v>
      </c>
      <c r="V12" s="106">
        <v>11</v>
      </c>
      <c r="W12" s="106">
        <v>27</v>
      </c>
      <c r="X12" s="107">
        <v>2.4500000000000002</v>
      </c>
      <c r="Y12" s="106">
        <v>3</v>
      </c>
      <c r="Z12" s="107">
        <v>0.21</v>
      </c>
      <c r="AA12" s="107">
        <v>2.93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"/>
  <sheetViews>
    <sheetView zoomScale="88" workbookViewId="0">
      <selection activeCell="G18" sqref="G18"/>
    </sheetView>
  </sheetViews>
  <sheetFormatPr baseColWidth="10" defaultRowHeight="15"/>
  <cols>
    <col min="1" max="1" width="17.6640625" style="57" customWidth="1"/>
    <col min="2" max="14" width="15.1640625" style="57" customWidth="1"/>
  </cols>
  <sheetData>
    <row r="1" spans="1:14" ht="57" customHeight="1">
      <c r="A1" s="42" t="s">
        <v>191</v>
      </c>
      <c r="B1" s="43" t="s">
        <v>192</v>
      </c>
      <c r="C1" s="43" t="s">
        <v>193</v>
      </c>
      <c r="D1" s="43" t="s">
        <v>194</v>
      </c>
      <c r="E1" s="43" t="s">
        <v>195</v>
      </c>
      <c r="F1" s="43" t="s">
        <v>196</v>
      </c>
      <c r="G1" s="43" t="s">
        <v>197</v>
      </c>
      <c r="H1" s="44" t="s">
        <v>198</v>
      </c>
      <c r="I1" s="44" t="s">
        <v>199</v>
      </c>
      <c r="J1" s="44" t="s">
        <v>200</v>
      </c>
      <c r="K1" s="45" t="s">
        <v>93</v>
      </c>
      <c r="L1" s="44" t="s">
        <v>201</v>
      </c>
      <c r="M1" s="44" t="s">
        <v>76</v>
      </c>
      <c r="N1" s="46" t="s">
        <v>202</v>
      </c>
    </row>
    <row r="2" spans="1:14" ht="52" customHeight="1">
      <c r="A2" s="53"/>
      <c r="B2" s="20"/>
      <c r="C2" s="20"/>
      <c r="D2" s="20"/>
      <c r="E2" s="20"/>
      <c r="F2" s="59" t="e">
        <f t="shared" ref="F2:F9" si="0">E2/(E2+B2)</f>
        <v>#DIV/0!</v>
      </c>
      <c r="G2" s="59" t="e">
        <f t="shared" ref="G2:G9" si="1">C2/B2</f>
        <v>#DIV/0!</v>
      </c>
      <c r="H2" s="20"/>
      <c r="I2" s="20"/>
      <c r="J2" s="60">
        <f t="shared" ref="J2:J9" si="2">E2/2/1.05</f>
        <v>0</v>
      </c>
      <c r="K2" s="28">
        <f t="shared" ref="K2:K9" si="3">H2+I2+J2</f>
        <v>0</v>
      </c>
      <c r="L2" s="28"/>
      <c r="M2" s="28"/>
      <c r="N2" s="28"/>
    </row>
    <row r="3" spans="1:14" ht="52" customHeight="1">
      <c r="A3" s="53"/>
      <c r="B3" s="20"/>
      <c r="C3" s="20"/>
      <c r="D3" s="20"/>
      <c r="E3" s="20"/>
      <c r="F3" s="59" t="e">
        <f t="shared" si="0"/>
        <v>#DIV/0!</v>
      </c>
      <c r="G3" s="59" t="e">
        <f t="shared" si="1"/>
        <v>#DIV/0!</v>
      </c>
      <c r="H3" s="20"/>
      <c r="I3" s="20"/>
      <c r="J3" s="60">
        <f t="shared" si="2"/>
        <v>0</v>
      </c>
      <c r="K3" s="28">
        <f t="shared" si="3"/>
        <v>0</v>
      </c>
      <c r="L3" s="48"/>
      <c r="M3" s="47"/>
      <c r="N3" s="48"/>
    </row>
    <row r="4" spans="1:14" ht="52" customHeight="1">
      <c r="A4" s="53"/>
      <c r="B4" s="20"/>
      <c r="C4" s="20"/>
      <c r="D4" s="20"/>
      <c r="E4" s="20"/>
      <c r="F4" s="59" t="e">
        <f t="shared" si="0"/>
        <v>#DIV/0!</v>
      </c>
      <c r="G4" s="59" t="e">
        <f t="shared" si="1"/>
        <v>#DIV/0!</v>
      </c>
      <c r="H4" s="20"/>
      <c r="I4" s="20"/>
      <c r="J4" s="60">
        <f t="shared" si="2"/>
        <v>0</v>
      </c>
      <c r="K4" s="28">
        <f t="shared" si="3"/>
        <v>0</v>
      </c>
      <c r="L4" s="48"/>
      <c r="M4" s="47"/>
      <c r="N4" s="48"/>
    </row>
    <row r="5" spans="1:14" ht="52" customHeight="1">
      <c r="A5" s="53"/>
      <c r="B5" s="20"/>
      <c r="C5" s="20"/>
      <c r="D5" s="20"/>
      <c r="E5" s="20"/>
      <c r="F5" s="59" t="e">
        <f t="shared" si="0"/>
        <v>#DIV/0!</v>
      </c>
      <c r="G5" s="59" t="e">
        <f t="shared" si="1"/>
        <v>#DIV/0!</v>
      </c>
      <c r="H5" s="20"/>
      <c r="I5" s="20"/>
      <c r="J5" s="60">
        <f t="shared" si="2"/>
        <v>0</v>
      </c>
      <c r="K5" s="28">
        <f t="shared" si="3"/>
        <v>0</v>
      </c>
      <c r="L5" s="48"/>
      <c r="M5" s="47"/>
      <c r="N5" s="48"/>
    </row>
    <row r="6" spans="1:14" ht="52" customHeight="1">
      <c r="A6" s="53"/>
      <c r="B6" s="20"/>
      <c r="C6" s="20"/>
      <c r="D6" s="20"/>
      <c r="E6" s="20"/>
      <c r="F6" s="59" t="e">
        <f t="shared" si="0"/>
        <v>#DIV/0!</v>
      </c>
      <c r="G6" s="59" t="e">
        <f t="shared" si="1"/>
        <v>#DIV/0!</v>
      </c>
      <c r="H6" s="20"/>
      <c r="I6" s="20"/>
      <c r="J6" s="60">
        <f t="shared" si="2"/>
        <v>0</v>
      </c>
      <c r="K6" s="28">
        <f t="shared" si="3"/>
        <v>0</v>
      </c>
      <c r="L6" s="48"/>
      <c r="M6" s="47"/>
      <c r="N6" s="48"/>
    </row>
    <row r="7" spans="1:14" ht="52" customHeight="1">
      <c r="A7" s="53"/>
      <c r="B7" s="20"/>
      <c r="C7" s="20"/>
      <c r="D7" s="20"/>
      <c r="E7" s="20"/>
      <c r="F7" s="59" t="e">
        <f t="shared" si="0"/>
        <v>#DIV/0!</v>
      </c>
      <c r="G7" s="59" t="e">
        <f t="shared" si="1"/>
        <v>#DIV/0!</v>
      </c>
      <c r="H7" s="20"/>
      <c r="I7" s="20"/>
      <c r="J7" s="60">
        <f t="shared" si="2"/>
        <v>0</v>
      </c>
      <c r="K7" s="28">
        <f t="shared" si="3"/>
        <v>0</v>
      </c>
      <c r="L7" s="48"/>
      <c r="M7" s="47"/>
      <c r="N7" s="48"/>
    </row>
    <row r="8" spans="1:14" ht="52" customHeight="1">
      <c r="A8" s="53"/>
      <c r="B8" s="20"/>
      <c r="C8" s="20"/>
      <c r="D8" s="20"/>
      <c r="E8" s="20"/>
      <c r="F8" s="59" t="e">
        <f t="shared" si="0"/>
        <v>#DIV/0!</v>
      </c>
      <c r="G8" s="59" t="e">
        <f t="shared" si="1"/>
        <v>#DIV/0!</v>
      </c>
      <c r="H8" s="20"/>
      <c r="I8" s="20"/>
      <c r="J8" s="60">
        <f t="shared" si="2"/>
        <v>0</v>
      </c>
      <c r="K8" s="28">
        <f t="shared" si="3"/>
        <v>0</v>
      </c>
      <c r="L8" s="48"/>
      <c r="M8" s="47"/>
      <c r="N8" s="48"/>
    </row>
    <row r="9" spans="1:14" ht="52" customHeight="1">
      <c r="A9" s="49" t="s">
        <v>137</v>
      </c>
      <c r="B9" s="28"/>
      <c r="C9" s="28"/>
      <c r="D9" s="28"/>
      <c r="E9" s="28"/>
      <c r="F9" s="59" t="e">
        <f t="shared" si="0"/>
        <v>#DIV/0!</v>
      </c>
      <c r="G9" s="59" t="e">
        <f t="shared" si="1"/>
        <v>#DIV/0!</v>
      </c>
      <c r="H9" s="28"/>
      <c r="I9" s="28"/>
      <c r="J9" s="60">
        <f t="shared" si="2"/>
        <v>0</v>
      </c>
      <c r="K9" s="28">
        <f t="shared" si="3"/>
        <v>0</v>
      </c>
      <c r="L9" s="48"/>
      <c r="M9" s="47"/>
      <c r="N9" s="28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9"/>
  <sheetViews>
    <sheetView workbookViewId="0">
      <selection activeCell="N22" sqref="N22"/>
    </sheetView>
  </sheetViews>
  <sheetFormatPr baseColWidth="10" defaultRowHeight="15"/>
  <cols>
    <col min="2" max="9" width="10.33203125" style="57" customWidth="1"/>
    <col min="10" max="10" width="11.1640625" style="57" customWidth="1"/>
    <col min="11" max="22" width="10.33203125" style="57" customWidth="1"/>
  </cols>
  <sheetData>
    <row r="1" spans="1:22" ht="30" customHeight="1">
      <c r="A1" s="65" t="s">
        <v>191</v>
      </c>
      <c r="B1" s="66" t="s">
        <v>203</v>
      </c>
      <c r="C1" s="66" t="s">
        <v>204</v>
      </c>
      <c r="D1" s="66" t="s">
        <v>205</v>
      </c>
      <c r="E1" s="66" t="s">
        <v>206</v>
      </c>
      <c r="F1" s="69" t="s">
        <v>207</v>
      </c>
      <c r="G1" s="69" t="s">
        <v>208</v>
      </c>
      <c r="H1" s="69" t="s">
        <v>209</v>
      </c>
      <c r="I1" s="69" t="s">
        <v>206</v>
      </c>
      <c r="J1" s="52" t="s">
        <v>210</v>
      </c>
      <c r="K1" s="52" t="s">
        <v>211</v>
      </c>
      <c r="L1" s="52" t="s">
        <v>212</v>
      </c>
      <c r="M1" s="52" t="s">
        <v>206</v>
      </c>
      <c r="N1" s="67" t="s">
        <v>213</v>
      </c>
      <c r="O1" s="70" t="s">
        <v>214</v>
      </c>
      <c r="P1" s="70" t="s">
        <v>215</v>
      </c>
      <c r="Q1" s="70" t="s">
        <v>216</v>
      </c>
      <c r="R1" s="70" t="s">
        <v>206</v>
      </c>
      <c r="S1" s="68" t="s">
        <v>217</v>
      </c>
      <c r="T1" s="68" t="s">
        <v>218</v>
      </c>
      <c r="U1" s="68" t="s">
        <v>219</v>
      </c>
      <c r="V1" s="68" t="s">
        <v>206</v>
      </c>
    </row>
    <row r="2" spans="1:22" ht="39" customHeight="1">
      <c r="A2" s="53"/>
      <c r="B2" s="50"/>
      <c r="C2" s="50"/>
      <c r="D2" s="50"/>
      <c r="E2" s="51"/>
      <c r="F2" s="50"/>
      <c r="G2" s="50"/>
      <c r="H2" s="50"/>
      <c r="I2" s="51"/>
      <c r="J2" s="50"/>
      <c r="K2" s="50"/>
      <c r="L2" s="50"/>
      <c r="M2" s="51"/>
      <c r="N2" s="51"/>
      <c r="O2" s="50"/>
      <c r="P2" s="50"/>
      <c r="Q2" s="50"/>
      <c r="R2" s="51"/>
      <c r="S2" s="50"/>
      <c r="T2" s="50"/>
      <c r="U2" s="50"/>
      <c r="V2" s="51"/>
    </row>
    <row r="3" spans="1:22" ht="39" customHeight="1">
      <c r="A3" s="53"/>
      <c r="B3" s="50"/>
      <c r="C3" s="50"/>
      <c r="D3" s="50"/>
      <c r="E3" s="51"/>
      <c r="F3" s="50"/>
      <c r="G3" s="50"/>
      <c r="H3" s="50"/>
      <c r="I3" s="51"/>
      <c r="J3" s="50"/>
      <c r="K3" s="50"/>
      <c r="L3" s="50"/>
      <c r="M3" s="51"/>
      <c r="N3" s="51"/>
      <c r="O3" s="50"/>
      <c r="P3" s="50"/>
      <c r="Q3" s="50"/>
      <c r="R3" s="51"/>
      <c r="S3" s="50"/>
      <c r="T3" s="50"/>
      <c r="U3" s="50"/>
      <c r="V3" s="51"/>
    </row>
    <row r="4" spans="1:22" ht="39" customHeight="1">
      <c r="A4" s="53"/>
      <c r="B4" s="50"/>
      <c r="C4" s="50"/>
      <c r="D4" s="50"/>
      <c r="E4" s="51"/>
      <c r="F4" s="50"/>
      <c r="G4" s="50"/>
      <c r="H4" s="50"/>
      <c r="I4" s="51"/>
      <c r="J4" s="50"/>
      <c r="K4" s="50"/>
      <c r="L4" s="50"/>
      <c r="M4" s="51"/>
      <c r="N4" s="51"/>
      <c r="O4" s="50"/>
      <c r="P4" s="50"/>
      <c r="Q4" s="50"/>
      <c r="R4" s="51"/>
      <c r="S4" s="50"/>
      <c r="T4" s="50"/>
      <c r="U4" s="50"/>
      <c r="V4" s="51"/>
    </row>
    <row r="5" spans="1:22" ht="39" customHeight="1">
      <c r="A5" s="53"/>
      <c r="B5" s="50"/>
      <c r="C5" s="50"/>
      <c r="D5" s="50"/>
      <c r="E5" s="51"/>
      <c r="F5" s="50"/>
      <c r="G5" s="50"/>
      <c r="H5" s="50"/>
      <c r="I5" s="51"/>
      <c r="J5" s="50"/>
      <c r="K5" s="50"/>
      <c r="L5" s="50"/>
      <c r="M5" s="51"/>
      <c r="N5" s="51"/>
      <c r="O5" s="50"/>
      <c r="P5" s="50"/>
      <c r="Q5" s="50"/>
      <c r="R5" s="51"/>
      <c r="S5" s="50"/>
      <c r="T5" s="50"/>
      <c r="U5" s="50"/>
      <c r="V5" s="51"/>
    </row>
    <row r="6" spans="1:22" ht="39" customHeight="1">
      <c r="A6" s="53"/>
      <c r="B6" s="50"/>
      <c r="C6" s="50"/>
      <c r="D6" s="50"/>
      <c r="E6" s="51"/>
      <c r="F6" s="50"/>
      <c r="G6" s="50"/>
      <c r="H6" s="50"/>
      <c r="I6" s="51"/>
      <c r="J6" s="50"/>
      <c r="K6" s="50"/>
      <c r="L6" s="50"/>
      <c r="M6" s="51"/>
      <c r="N6" s="51"/>
      <c r="O6" s="50"/>
      <c r="P6" s="50"/>
      <c r="Q6" s="50"/>
      <c r="R6" s="51"/>
      <c r="S6" s="50"/>
      <c r="T6" s="50"/>
      <c r="U6" s="50"/>
      <c r="V6" s="51"/>
    </row>
    <row r="7" spans="1:22" ht="39" customHeight="1">
      <c r="A7" s="53"/>
      <c r="B7" s="50"/>
      <c r="C7" s="50"/>
      <c r="D7" s="50"/>
      <c r="E7" s="51"/>
      <c r="F7" s="50"/>
      <c r="G7" s="50"/>
      <c r="H7" s="50"/>
      <c r="I7" s="51"/>
      <c r="J7" s="50"/>
      <c r="K7" s="50"/>
      <c r="L7" s="50"/>
      <c r="M7" s="51"/>
      <c r="N7" s="51"/>
      <c r="O7" s="50"/>
      <c r="P7" s="50"/>
      <c r="Q7" s="50"/>
      <c r="R7" s="51"/>
      <c r="S7" s="50"/>
      <c r="T7" s="50"/>
      <c r="U7" s="50"/>
      <c r="V7" s="51"/>
    </row>
    <row r="8" spans="1:22" ht="39" customHeight="1">
      <c r="A8" s="53"/>
      <c r="B8" s="50"/>
      <c r="C8" s="50"/>
      <c r="D8" s="50"/>
      <c r="E8" s="51"/>
      <c r="F8" s="50"/>
      <c r="G8" s="50"/>
      <c r="H8" s="50"/>
      <c r="I8" s="51"/>
      <c r="J8" s="50"/>
      <c r="K8" s="50"/>
      <c r="L8" s="50"/>
      <c r="M8" s="51"/>
      <c r="N8" s="51"/>
      <c r="O8" s="50"/>
      <c r="P8" s="50"/>
      <c r="Q8" s="50"/>
      <c r="R8" s="51"/>
      <c r="S8" s="50"/>
      <c r="T8" s="50"/>
      <c r="U8" s="50"/>
      <c r="V8" s="51"/>
    </row>
    <row r="9" spans="1:22" ht="19" customHeight="1">
      <c r="A9" s="41" t="s">
        <v>137</v>
      </c>
      <c r="B9" s="41"/>
      <c r="C9" s="41"/>
      <c r="D9" s="41"/>
      <c r="E9" s="51"/>
      <c r="F9" s="41"/>
      <c r="G9" s="41"/>
      <c r="H9" s="41"/>
      <c r="I9" s="51"/>
      <c r="J9" s="41"/>
      <c r="K9" s="41"/>
      <c r="L9" s="41"/>
      <c r="M9" s="51"/>
      <c r="N9" s="51"/>
      <c r="O9" s="41"/>
      <c r="P9" s="41"/>
      <c r="Q9" s="41"/>
      <c r="R9" s="51"/>
      <c r="S9" s="41"/>
      <c r="T9" s="41"/>
      <c r="U9" s="41"/>
      <c r="V9" s="5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9"/>
  <sheetViews>
    <sheetView workbookViewId="0">
      <selection activeCell="B2" sqref="B2"/>
    </sheetView>
  </sheetViews>
  <sheetFormatPr baseColWidth="10" defaultRowHeight="15"/>
  <cols>
    <col min="2" max="9" width="10.33203125" style="57" customWidth="1"/>
    <col min="10" max="10" width="11.1640625" style="57" customWidth="1"/>
    <col min="11" max="22" width="10.33203125" style="57" customWidth="1"/>
  </cols>
  <sheetData>
    <row r="1" spans="1:22" ht="30" customHeight="1">
      <c r="A1" s="65" t="s">
        <v>191</v>
      </c>
      <c r="B1" s="66" t="s">
        <v>203</v>
      </c>
      <c r="C1" s="66" t="s">
        <v>204</v>
      </c>
      <c r="D1" s="66" t="s">
        <v>220</v>
      </c>
      <c r="E1" s="66" t="s">
        <v>206</v>
      </c>
      <c r="F1" s="69" t="s">
        <v>207</v>
      </c>
      <c r="G1" s="69" t="s">
        <v>208</v>
      </c>
      <c r="H1" s="69" t="s">
        <v>209</v>
      </c>
      <c r="I1" s="69" t="s">
        <v>206</v>
      </c>
      <c r="J1" s="52" t="s">
        <v>210</v>
      </c>
      <c r="K1" s="52" t="s">
        <v>211</v>
      </c>
      <c r="L1" s="52" t="s">
        <v>212</v>
      </c>
      <c r="M1" s="52" t="s">
        <v>206</v>
      </c>
      <c r="N1" s="67" t="s">
        <v>213</v>
      </c>
      <c r="O1" s="70" t="s">
        <v>214</v>
      </c>
      <c r="P1" s="70" t="s">
        <v>215</v>
      </c>
      <c r="Q1" s="70" t="s">
        <v>216</v>
      </c>
      <c r="R1" s="70" t="s">
        <v>206</v>
      </c>
      <c r="S1" s="68" t="s">
        <v>217</v>
      </c>
      <c r="T1" s="68" t="s">
        <v>218</v>
      </c>
      <c r="U1" s="68" t="s">
        <v>219</v>
      </c>
      <c r="V1" s="68" t="s">
        <v>206</v>
      </c>
    </row>
    <row r="2" spans="1:22" ht="39" customHeight="1">
      <c r="A2" s="53"/>
      <c r="B2" s="50"/>
      <c r="C2" s="50"/>
      <c r="D2" s="50"/>
      <c r="E2" s="51"/>
      <c r="F2" s="50"/>
      <c r="G2" s="50"/>
      <c r="H2" s="50"/>
      <c r="I2" s="51"/>
      <c r="J2" s="50"/>
      <c r="K2" s="50"/>
      <c r="L2" s="50"/>
      <c r="M2" s="51"/>
      <c r="N2" s="51"/>
      <c r="O2" s="50"/>
      <c r="P2" s="50"/>
      <c r="Q2" s="50"/>
      <c r="R2" s="51"/>
      <c r="S2" s="50"/>
      <c r="T2" s="50"/>
      <c r="U2" s="50"/>
      <c r="V2" s="51"/>
    </row>
    <row r="3" spans="1:22" ht="39" customHeight="1">
      <c r="A3" s="53"/>
      <c r="B3" s="50"/>
      <c r="C3" s="50"/>
      <c r="D3" s="50"/>
      <c r="E3" s="51"/>
      <c r="F3" s="50"/>
      <c r="G3" s="50"/>
      <c r="H3" s="50"/>
      <c r="I3" s="51"/>
      <c r="J3" s="50"/>
      <c r="K3" s="50"/>
      <c r="L3" s="50"/>
      <c r="M3" s="51"/>
      <c r="N3" s="51"/>
      <c r="O3" s="50"/>
      <c r="P3" s="50"/>
      <c r="Q3" s="50"/>
      <c r="R3" s="51"/>
      <c r="S3" s="50"/>
      <c r="T3" s="50"/>
      <c r="U3" s="50"/>
      <c r="V3" s="51"/>
    </row>
    <row r="4" spans="1:22" ht="39" customHeight="1">
      <c r="A4" s="53"/>
      <c r="B4" s="50"/>
      <c r="C4" s="50"/>
      <c r="D4" s="50"/>
      <c r="E4" s="51"/>
      <c r="F4" s="50"/>
      <c r="G4" s="50"/>
      <c r="H4" s="50"/>
      <c r="I4" s="51"/>
      <c r="J4" s="50"/>
      <c r="K4" s="50"/>
      <c r="L4" s="50"/>
      <c r="M4" s="51"/>
      <c r="N4" s="51"/>
      <c r="O4" s="50"/>
      <c r="P4" s="50"/>
      <c r="Q4" s="50"/>
      <c r="R4" s="51"/>
      <c r="S4" s="50"/>
      <c r="T4" s="50"/>
      <c r="U4" s="50"/>
      <c r="V4" s="51"/>
    </row>
    <row r="5" spans="1:22" ht="39" customHeight="1">
      <c r="A5" s="53"/>
      <c r="B5" s="50"/>
      <c r="C5" s="50"/>
      <c r="D5" s="50"/>
      <c r="E5" s="51"/>
      <c r="F5" s="50"/>
      <c r="G5" s="50"/>
      <c r="H5" s="50"/>
      <c r="I5" s="51"/>
      <c r="J5" s="50"/>
      <c r="K5" s="50"/>
      <c r="L5" s="50"/>
      <c r="M5" s="51"/>
      <c r="N5" s="51"/>
      <c r="O5" s="50"/>
      <c r="P5" s="50"/>
      <c r="Q5" s="50"/>
      <c r="R5" s="51"/>
      <c r="S5" s="50"/>
      <c r="T5" s="50"/>
      <c r="U5" s="50"/>
      <c r="V5" s="51"/>
    </row>
    <row r="6" spans="1:22" ht="39" customHeight="1">
      <c r="A6" s="53"/>
      <c r="B6" s="50"/>
      <c r="C6" s="50"/>
      <c r="D6" s="50"/>
      <c r="E6" s="51"/>
      <c r="F6" s="50"/>
      <c r="G6" s="50"/>
      <c r="H6" s="50"/>
      <c r="I6" s="51"/>
      <c r="J6" s="50"/>
      <c r="K6" s="50"/>
      <c r="L6" s="50"/>
      <c r="M6" s="51"/>
      <c r="N6" s="51"/>
      <c r="O6" s="50"/>
      <c r="P6" s="50"/>
      <c r="Q6" s="50"/>
      <c r="R6" s="51"/>
      <c r="S6" s="50"/>
      <c r="T6" s="50"/>
      <c r="U6" s="50"/>
      <c r="V6" s="51"/>
    </row>
    <row r="7" spans="1:22" ht="39" customHeight="1">
      <c r="A7" s="53"/>
      <c r="B7" s="50"/>
      <c r="C7" s="50"/>
      <c r="D7" s="50"/>
      <c r="E7" s="51"/>
      <c r="F7" s="50"/>
      <c r="G7" s="50"/>
      <c r="H7" s="50"/>
      <c r="I7" s="51"/>
      <c r="J7" s="50"/>
      <c r="K7" s="50"/>
      <c r="L7" s="50"/>
      <c r="M7" s="51"/>
      <c r="N7" s="51"/>
      <c r="O7" s="50"/>
      <c r="P7" s="50"/>
      <c r="Q7" s="50"/>
      <c r="R7" s="51"/>
      <c r="S7" s="50"/>
      <c r="T7" s="50"/>
      <c r="U7" s="50"/>
      <c r="V7" s="51"/>
    </row>
    <row r="8" spans="1:22" ht="39" customHeight="1">
      <c r="A8" s="53"/>
      <c r="B8" s="50"/>
      <c r="C8" s="50"/>
      <c r="D8" s="50"/>
      <c r="E8" s="51"/>
      <c r="F8" s="50"/>
      <c r="G8" s="50"/>
      <c r="H8" s="50"/>
      <c r="I8" s="51"/>
      <c r="J8" s="50"/>
      <c r="K8" s="50"/>
      <c r="L8" s="50"/>
      <c r="M8" s="51"/>
      <c r="N8" s="51"/>
      <c r="O8" s="50"/>
      <c r="P8" s="50"/>
      <c r="Q8" s="50"/>
      <c r="R8" s="51"/>
      <c r="S8" s="50"/>
      <c r="T8" s="50"/>
      <c r="U8" s="50"/>
      <c r="V8" s="51"/>
    </row>
    <row r="9" spans="1:22" ht="19" customHeight="1">
      <c r="A9" s="41" t="s">
        <v>137</v>
      </c>
      <c r="B9" s="41"/>
      <c r="C9" s="41"/>
      <c r="D9" s="41"/>
      <c r="E9" s="51"/>
      <c r="F9" s="41"/>
      <c r="G9" s="41"/>
      <c r="H9" s="41"/>
      <c r="I9" s="51"/>
      <c r="J9" s="41"/>
      <c r="K9" s="41"/>
      <c r="L9" s="41"/>
      <c r="M9" s="51"/>
      <c r="N9" s="51"/>
      <c r="O9" s="41"/>
      <c r="P9" s="41"/>
      <c r="Q9" s="41"/>
      <c r="R9" s="51"/>
      <c r="S9" s="41"/>
      <c r="T9" s="41"/>
      <c r="U9" s="41"/>
      <c r="V9" s="51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"/>
  <sheetViews>
    <sheetView workbookViewId="0">
      <selection activeCell="A2" sqref="A2:A8"/>
    </sheetView>
  </sheetViews>
  <sheetFormatPr baseColWidth="10" defaultRowHeight="15"/>
  <cols>
    <col min="1" max="1" width="19" style="57" customWidth="1"/>
    <col min="2" max="10" width="18" style="57" customWidth="1"/>
  </cols>
  <sheetData>
    <row r="1" spans="1:10" ht="52" customHeight="1">
      <c r="A1" s="50" t="s">
        <v>191</v>
      </c>
      <c r="B1" s="54" t="s">
        <v>221</v>
      </c>
      <c r="C1" s="54" t="s">
        <v>222</v>
      </c>
      <c r="D1" s="54" t="s">
        <v>223</v>
      </c>
      <c r="E1" s="54" t="s">
        <v>224</v>
      </c>
      <c r="F1" s="54" t="s">
        <v>225</v>
      </c>
      <c r="G1" s="54" t="s">
        <v>226</v>
      </c>
      <c r="H1" s="54" t="s">
        <v>227</v>
      </c>
      <c r="I1" s="22" t="s">
        <v>228</v>
      </c>
      <c r="J1" s="26" t="s">
        <v>229</v>
      </c>
    </row>
    <row r="2" spans="1:10" ht="52" customHeight="1">
      <c r="A2" s="53"/>
      <c r="B2" s="55"/>
      <c r="C2" s="55"/>
      <c r="D2" s="55"/>
      <c r="E2" s="55"/>
      <c r="F2" s="55"/>
      <c r="G2" s="55"/>
      <c r="H2" s="55"/>
      <c r="I2" s="55"/>
      <c r="J2" s="55"/>
    </row>
    <row r="3" spans="1:10" ht="52" customHeight="1">
      <c r="A3" s="53"/>
      <c r="B3" s="55"/>
      <c r="C3" s="55"/>
      <c r="D3" s="55"/>
      <c r="E3" s="55"/>
      <c r="F3" s="55"/>
      <c r="G3" s="55"/>
      <c r="H3" s="55"/>
      <c r="I3" s="55"/>
      <c r="J3" s="55"/>
    </row>
    <row r="4" spans="1:10" ht="52" customHeight="1">
      <c r="A4" s="53"/>
      <c r="B4" s="55"/>
      <c r="C4" s="55"/>
      <c r="D4" s="55"/>
      <c r="E4" s="55"/>
      <c r="F4" s="55"/>
      <c r="G4" s="55"/>
      <c r="H4" s="55"/>
      <c r="I4" s="55"/>
      <c r="J4" s="55"/>
    </row>
    <row r="5" spans="1:10" ht="52" customHeight="1">
      <c r="A5" s="53"/>
      <c r="B5" s="55"/>
      <c r="C5" s="55"/>
      <c r="D5" s="55"/>
      <c r="E5" s="55"/>
      <c r="F5" s="55"/>
      <c r="G5" s="55"/>
      <c r="H5" s="55"/>
      <c r="I5" s="55"/>
      <c r="J5" s="55"/>
    </row>
    <row r="6" spans="1:10" ht="52" customHeight="1">
      <c r="A6" s="53"/>
      <c r="B6" s="55"/>
      <c r="C6" s="55"/>
      <c r="D6" s="55"/>
      <c r="E6" s="55"/>
      <c r="F6" s="55"/>
      <c r="G6" s="55"/>
      <c r="H6" s="55"/>
      <c r="I6" s="55"/>
      <c r="J6" s="55"/>
    </row>
    <row r="7" spans="1:10" ht="52" customHeight="1">
      <c r="A7" s="53"/>
      <c r="B7" s="55"/>
      <c r="C7" s="55"/>
      <c r="D7" s="55"/>
      <c r="E7" s="55"/>
      <c r="F7" s="55"/>
      <c r="G7" s="55"/>
      <c r="H7" s="55"/>
      <c r="I7" s="55"/>
      <c r="J7" s="55"/>
    </row>
    <row r="8" spans="1:10" ht="52" customHeight="1">
      <c r="A8" s="53"/>
      <c r="B8" s="55"/>
      <c r="C8" s="55"/>
      <c r="D8" s="55"/>
      <c r="E8" s="55"/>
      <c r="F8" s="55"/>
      <c r="G8" s="55"/>
      <c r="H8" s="55"/>
      <c r="I8" s="55"/>
      <c r="J8" s="55"/>
    </row>
    <row r="9" spans="1:10" ht="52" customHeight="1">
      <c r="A9" s="41" t="s">
        <v>137</v>
      </c>
      <c r="B9" s="56"/>
      <c r="C9" s="56"/>
      <c r="D9" s="56"/>
      <c r="E9" s="56"/>
      <c r="F9" s="56"/>
      <c r="G9" s="56"/>
      <c r="H9" s="56"/>
      <c r="I9" s="56"/>
      <c r="J9" s="56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4"/>
  <sheetViews>
    <sheetView workbookViewId="0">
      <selection activeCell="G29" sqref="G29"/>
    </sheetView>
  </sheetViews>
  <sheetFormatPr baseColWidth="10" defaultRowHeight="15"/>
  <cols>
    <col min="1" max="1" width="27" style="57" bestFit="1" customWidth="1"/>
    <col min="2" max="2" width="14.1640625" style="57" bestFit="1" customWidth="1"/>
    <col min="3" max="3" width="14.1640625" style="57" customWidth="1"/>
  </cols>
  <sheetData>
    <row r="1" spans="1:5">
      <c r="A1" s="75"/>
      <c r="B1" s="88" t="s">
        <v>230</v>
      </c>
      <c r="C1" s="88" t="s">
        <v>231</v>
      </c>
      <c r="D1" s="104" t="s">
        <v>232</v>
      </c>
      <c r="E1" s="105"/>
    </row>
    <row r="2" spans="1:5">
      <c r="A2" s="76" t="s">
        <v>83</v>
      </c>
      <c r="B2" s="77">
        <v>37865386</v>
      </c>
      <c r="C2" s="77">
        <v>44763710</v>
      </c>
      <c r="D2" s="77">
        <v>6898324</v>
      </c>
      <c r="E2" s="78">
        <v>0.182</v>
      </c>
    </row>
    <row r="3" spans="1:5">
      <c r="A3" s="76" t="s">
        <v>84</v>
      </c>
      <c r="B3" s="77">
        <v>37865386</v>
      </c>
      <c r="C3" s="77">
        <v>44763710</v>
      </c>
      <c r="D3" s="77">
        <v>6898324</v>
      </c>
      <c r="E3" s="78">
        <v>0.182</v>
      </c>
    </row>
    <row r="4" spans="1:5">
      <c r="A4" s="76" t="s">
        <v>85</v>
      </c>
      <c r="B4"/>
      <c r="C4"/>
      <c r="D4">
        <v>0</v>
      </c>
      <c r="E4" s="79"/>
    </row>
    <row r="5" spans="1:5">
      <c r="A5" s="76" t="s">
        <v>87</v>
      </c>
      <c r="B5" s="77">
        <v>28454402</v>
      </c>
      <c r="C5" s="77">
        <v>35187994</v>
      </c>
      <c r="D5" s="77">
        <v>6733592</v>
      </c>
      <c r="E5" s="80">
        <v>0.24</v>
      </c>
    </row>
    <row r="6" spans="1:5">
      <c r="A6" s="76" t="s">
        <v>88</v>
      </c>
      <c r="B6" s="77">
        <v>4953169</v>
      </c>
      <c r="C6" s="77">
        <v>4304081</v>
      </c>
      <c r="D6" s="77">
        <v>-649088</v>
      </c>
      <c r="E6" s="80">
        <v>-0.13</v>
      </c>
    </row>
    <row r="7" spans="1:5">
      <c r="A7" s="76" t="s">
        <v>89</v>
      </c>
      <c r="B7" s="77">
        <v>3025452</v>
      </c>
      <c r="C7" s="77">
        <v>4428930</v>
      </c>
      <c r="D7" s="77">
        <v>1403478</v>
      </c>
      <c r="E7" s="78">
        <v>0.46400000000000002</v>
      </c>
    </row>
    <row r="8" spans="1:5">
      <c r="A8" s="81" t="s">
        <v>90</v>
      </c>
      <c r="B8" s="82">
        <v>0.08</v>
      </c>
      <c r="C8" s="82">
        <v>9.9000000000000005E-2</v>
      </c>
      <c r="D8" s="82">
        <v>1.9E-2</v>
      </c>
      <c r="E8" s="83">
        <v>0.24</v>
      </c>
    </row>
    <row r="9" spans="1:5">
      <c r="A9" s="76" t="s">
        <v>91</v>
      </c>
      <c r="B9" s="77">
        <v>1806179</v>
      </c>
      <c r="C9" s="77">
        <v>1814090</v>
      </c>
      <c r="D9" s="77">
        <v>7911</v>
      </c>
      <c r="E9" s="80">
        <v>0</v>
      </c>
    </row>
    <row r="10" spans="1:5">
      <c r="A10" s="81" t="s">
        <v>92</v>
      </c>
      <c r="B10" s="82">
        <v>4.8000000000000001E-2</v>
      </c>
      <c r="C10" s="82">
        <v>4.1000000000000002E-2</v>
      </c>
      <c r="D10" s="82">
        <v>-7.1999999999999998E-3</v>
      </c>
      <c r="E10" s="83">
        <v>-0.15</v>
      </c>
    </row>
    <row r="11" spans="1:5">
      <c r="A11" s="76" t="s">
        <v>93</v>
      </c>
      <c r="B11" s="77">
        <v>4774129</v>
      </c>
      <c r="C11" s="77">
        <v>6155554</v>
      </c>
      <c r="D11" s="77">
        <v>1381425</v>
      </c>
      <c r="E11" s="80">
        <v>0.28999999999999998</v>
      </c>
    </row>
    <row r="12" spans="1:5">
      <c r="A12" s="76" t="s">
        <v>94</v>
      </c>
      <c r="B12" s="77">
        <v>2732116</v>
      </c>
      <c r="C12" s="77">
        <v>3119165</v>
      </c>
      <c r="D12" s="77">
        <v>387049</v>
      </c>
      <c r="E12" s="80">
        <v>0.14000000000000001</v>
      </c>
    </row>
    <row r="13" spans="1:5">
      <c r="A13" s="76" t="s">
        <v>95</v>
      </c>
      <c r="B13" s="77">
        <v>1138923</v>
      </c>
      <c r="C13" s="77">
        <v>2129344</v>
      </c>
      <c r="D13" s="77">
        <v>990421</v>
      </c>
      <c r="E13" s="80">
        <v>0.87</v>
      </c>
    </row>
    <row r="14" spans="1:5">
      <c r="A14" s="84" t="s">
        <v>96</v>
      </c>
      <c r="B14" s="74">
        <v>903090</v>
      </c>
      <c r="C14" s="74">
        <v>907045</v>
      </c>
      <c r="D14" s="74">
        <v>3955</v>
      </c>
      <c r="E14" s="85">
        <v>0</v>
      </c>
    </row>
    <row r="15" spans="1:5">
      <c r="A15" s="76" t="s">
        <v>97</v>
      </c>
      <c r="B15">
        <v>76</v>
      </c>
      <c r="C15">
        <v>72</v>
      </c>
      <c r="D15">
        <v>-4</v>
      </c>
      <c r="E15" s="80">
        <v>-0.05</v>
      </c>
    </row>
    <row r="16" spans="1:5">
      <c r="A16" s="76" t="s">
        <v>98</v>
      </c>
      <c r="B16">
        <v>15</v>
      </c>
      <c r="C16">
        <v>14</v>
      </c>
      <c r="D16">
        <v>-1</v>
      </c>
      <c r="E16" s="80">
        <v>-7.0000000000000007E-2</v>
      </c>
    </row>
    <row r="17" spans="1:5">
      <c r="A17" s="76" t="s">
        <v>99</v>
      </c>
      <c r="B17">
        <v>91</v>
      </c>
      <c r="C17">
        <v>86</v>
      </c>
      <c r="D17">
        <v>-5</v>
      </c>
      <c r="E17" s="80">
        <v>-0.05</v>
      </c>
    </row>
    <row r="18" spans="1:5">
      <c r="A18" s="76" t="s">
        <v>100</v>
      </c>
      <c r="B18">
        <v>8</v>
      </c>
      <c r="C18">
        <v>5</v>
      </c>
      <c r="D18">
        <v>-3</v>
      </c>
      <c r="E18" s="80">
        <v>-0.38</v>
      </c>
    </row>
    <row r="19" spans="1:5">
      <c r="A19" s="81" t="s">
        <v>101</v>
      </c>
      <c r="B19" s="82">
        <v>0.09</v>
      </c>
      <c r="C19" s="82">
        <v>5.8000000000000003E-2</v>
      </c>
      <c r="D19" s="82">
        <v>-3.2000000000000001E-2</v>
      </c>
      <c r="E19" s="86">
        <v>-0.35560000000000003</v>
      </c>
    </row>
    <row r="20" spans="1:5">
      <c r="A20" s="76" t="s">
        <v>102</v>
      </c>
      <c r="B20">
        <v>42</v>
      </c>
      <c r="C20">
        <v>32</v>
      </c>
      <c r="D20">
        <v>-10</v>
      </c>
      <c r="E20" s="80">
        <v>-0.24</v>
      </c>
    </row>
    <row r="21" spans="1:5">
      <c r="A21" s="81" t="s">
        <v>103</v>
      </c>
      <c r="B21" s="82">
        <v>0.46</v>
      </c>
      <c r="C21" s="82">
        <v>0.372</v>
      </c>
      <c r="D21" s="82">
        <v>-8.7999999999999995E-2</v>
      </c>
      <c r="E21" s="86">
        <v>-0.1913</v>
      </c>
    </row>
    <row r="22" spans="1:5">
      <c r="A22" s="76" t="s">
        <v>104</v>
      </c>
      <c r="B22">
        <v>232</v>
      </c>
      <c r="C22">
        <v>250</v>
      </c>
      <c r="D22">
        <v>18</v>
      </c>
      <c r="E22" s="80">
        <v>0.08</v>
      </c>
    </row>
    <row r="23" spans="1:5">
      <c r="A23" s="76" t="s">
        <v>105</v>
      </c>
      <c r="B23">
        <v>120</v>
      </c>
      <c r="C23">
        <v>132</v>
      </c>
      <c r="D23">
        <v>12</v>
      </c>
      <c r="E23" s="80">
        <v>0.1</v>
      </c>
    </row>
    <row r="24" spans="1:5">
      <c r="A24" s="81" t="s">
        <v>106</v>
      </c>
      <c r="B24" s="82">
        <v>0.52</v>
      </c>
      <c r="C24" s="82">
        <v>0.52800000000000002</v>
      </c>
      <c r="D24" s="87">
        <v>0.01</v>
      </c>
      <c r="E24" s="83">
        <v>0.02</v>
      </c>
    </row>
    <row r="25" spans="1:5">
      <c r="A25" s="76" t="s">
        <v>107</v>
      </c>
      <c r="B25">
        <v>452</v>
      </c>
      <c r="C25">
        <v>646</v>
      </c>
      <c r="D25">
        <v>194</v>
      </c>
      <c r="E25" s="80">
        <v>0.43</v>
      </c>
    </row>
    <row r="26" spans="1:5">
      <c r="A26" s="76" t="s">
        <v>108</v>
      </c>
      <c r="B26">
        <v>162</v>
      </c>
      <c r="C26">
        <v>175</v>
      </c>
      <c r="D26">
        <v>13</v>
      </c>
      <c r="E26" s="80">
        <v>0.08</v>
      </c>
    </row>
    <row r="27" spans="1:5">
      <c r="A27" s="81" t="s">
        <v>109</v>
      </c>
      <c r="B27" s="87">
        <v>0.36</v>
      </c>
      <c r="C27" s="82">
        <v>0.27089999999999997</v>
      </c>
      <c r="D27" s="87">
        <v>-0.09</v>
      </c>
      <c r="E27" s="83">
        <v>-0.25</v>
      </c>
    </row>
    <row r="28" spans="1:5">
      <c r="A28" s="76" t="s">
        <v>110</v>
      </c>
      <c r="B28">
        <v>199</v>
      </c>
      <c r="C28">
        <v>211</v>
      </c>
      <c r="D28">
        <v>12</v>
      </c>
      <c r="E28" s="80">
        <v>0.06</v>
      </c>
    </row>
    <row r="29" spans="1:5">
      <c r="A29" s="76" t="s">
        <v>111</v>
      </c>
      <c r="B29">
        <v>84</v>
      </c>
      <c r="C29">
        <v>92</v>
      </c>
      <c r="D29">
        <v>8</v>
      </c>
      <c r="E29" s="80">
        <v>0.1</v>
      </c>
    </row>
    <row r="30" spans="1:5">
      <c r="A30" s="81" t="s">
        <v>112</v>
      </c>
      <c r="B30" s="87">
        <v>0.42</v>
      </c>
      <c r="C30" s="87">
        <v>0.44</v>
      </c>
      <c r="D30" s="87">
        <v>0.02</v>
      </c>
      <c r="E30" s="83">
        <v>0.04</v>
      </c>
    </row>
    <row r="31" spans="1:5">
      <c r="A31" s="76" t="s">
        <v>113</v>
      </c>
      <c r="B31" s="77"/>
      <c r="C31" s="77"/>
      <c r="D31" s="77"/>
      <c r="E31" s="80"/>
    </row>
    <row r="32" spans="1:5">
      <c r="A32" s="76" t="s">
        <v>114</v>
      </c>
      <c r="B32" s="77"/>
      <c r="C32" s="77"/>
      <c r="E32" s="80"/>
    </row>
    <row r="33" spans="1:5">
      <c r="A33" s="84" t="s">
        <v>115</v>
      </c>
      <c r="B33" s="74"/>
      <c r="C33" s="74"/>
      <c r="D33" s="73"/>
      <c r="E33" s="85"/>
    </row>
    <row r="34" spans="1:5">
      <c r="B34" s="71"/>
      <c r="C34" s="71"/>
    </row>
  </sheetData>
  <mergeCells count="1">
    <mergeCell ref="D1:E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"/>
  <sheetViews>
    <sheetView workbookViewId="0">
      <selection activeCell="I15" sqref="I15"/>
    </sheetView>
  </sheetViews>
  <sheetFormatPr baseColWidth="10" defaultRowHeight="15"/>
  <cols>
    <col min="1" max="1" width="14.1640625" style="72" bestFit="1" customWidth="1"/>
    <col min="2" max="2" width="29.1640625" style="57" bestFit="1" customWidth="1"/>
    <col min="3" max="3" width="20" style="57" customWidth="1"/>
    <col min="4" max="4" width="19.1640625" style="57" customWidth="1"/>
    <col min="5" max="5" width="16.83203125" style="57" customWidth="1"/>
    <col min="6" max="6" width="15.5" style="57" customWidth="1"/>
  </cols>
  <sheetData>
    <row r="1" spans="1:6" ht="27" customHeight="1">
      <c r="A1" s="89" t="s">
        <v>117</v>
      </c>
      <c r="B1" s="90" t="s">
        <v>118</v>
      </c>
      <c r="C1" s="91" t="s">
        <v>233</v>
      </c>
      <c r="D1" s="91" t="s">
        <v>234</v>
      </c>
      <c r="E1" s="92" t="s">
        <v>119</v>
      </c>
      <c r="F1" s="92" t="s">
        <v>120</v>
      </c>
    </row>
    <row r="2" spans="1:6" ht="27" customHeight="1">
      <c r="A2" s="89">
        <v>4007</v>
      </c>
      <c r="B2" s="90" t="s">
        <v>235</v>
      </c>
      <c r="C2" s="93"/>
      <c r="D2" s="93"/>
      <c r="E2" s="93">
        <v>-24543</v>
      </c>
      <c r="F2" s="94">
        <v>-0.12</v>
      </c>
    </row>
    <row r="3" spans="1:6" ht="27" customHeight="1">
      <c r="A3" s="89">
        <v>4009</v>
      </c>
      <c r="B3" s="90" t="s">
        <v>236</v>
      </c>
      <c r="C3" s="93"/>
      <c r="D3" s="93"/>
      <c r="E3" s="93">
        <v>566025</v>
      </c>
      <c r="F3" s="94">
        <v>0.59</v>
      </c>
    </row>
    <row r="4" spans="1:6" ht="27" customHeight="1">
      <c r="A4" s="89">
        <v>4010</v>
      </c>
      <c r="B4" s="90" t="s">
        <v>237</v>
      </c>
      <c r="C4" s="93"/>
      <c r="D4" s="93"/>
      <c r="E4" s="93">
        <v>264942</v>
      </c>
      <c r="F4" s="94">
        <v>0.41</v>
      </c>
    </row>
    <row r="5" spans="1:6" ht="27" customHeight="1">
      <c r="A5" s="89">
        <v>4012</v>
      </c>
      <c r="B5" s="90" t="s">
        <v>238</v>
      </c>
      <c r="C5" s="93"/>
      <c r="D5" s="93"/>
      <c r="E5" s="93">
        <v>95220</v>
      </c>
      <c r="F5" s="94">
        <v>0.15</v>
      </c>
    </row>
    <row r="6" spans="1:6" ht="27" customHeight="1">
      <c r="A6" s="89">
        <v>4013</v>
      </c>
      <c r="B6" s="90" t="s">
        <v>126</v>
      </c>
      <c r="C6" s="93"/>
      <c r="D6" s="93"/>
      <c r="E6" s="93">
        <v>401945</v>
      </c>
      <c r="F6" s="94">
        <v>9.2899999999999991</v>
      </c>
    </row>
    <row r="7" spans="1:6" ht="27" customHeight="1">
      <c r="A7" s="89">
        <v>4014</v>
      </c>
      <c r="B7" s="90" t="s">
        <v>127</v>
      </c>
      <c r="C7" s="93"/>
      <c r="D7" s="93"/>
      <c r="E7" s="93">
        <v>68508</v>
      </c>
      <c r="F7" s="94">
        <v>7.25</v>
      </c>
    </row>
    <row r="8" spans="1:6" ht="27" customHeight="1">
      <c r="A8" s="89">
        <v>4017</v>
      </c>
      <c r="B8" s="90" t="s">
        <v>128</v>
      </c>
      <c r="C8" s="90"/>
      <c r="D8" s="93"/>
      <c r="E8" s="93">
        <v>1125</v>
      </c>
      <c r="F8" s="90"/>
    </row>
    <row r="9" spans="1:6" ht="27" customHeight="1">
      <c r="A9" s="89">
        <v>4021</v>
      </c>
      <c r="B9" s="90" t="s">
        <v>129</v>
      </c>
      <c r="C9" s="90"/>
      <c r="D9" s="90"/>
      <c r="E9" s="90">
        <v>-500</v>
      </c>
      <c r="F9" s="94">
        <v>-1</v>
      </c>
    </row>
    <row r="10" spans="1:6" ht="27" customHeight="1">
      <c r="A10" s="89">
        <v>4022</v>
      </c>
      <c r="B10" s="90" t="s">
        <v>130</v>
      </c>
      <c r="C10" s="93"/>
      <c r="D10" s="93"/>
      <c r="E10" s="93">
        <v>44602</v>
      </c>
      <c r="F10" s="94">
        <v>0.42</v>
      </c>
    </row>
    <row r="11" spans="1:6" ht="27" customHeight="1">
      <c r="A11" s="89">
        <v>4026</v>
      </c>
      <c r="B11" s="90" t="s">
        <v>131</v>
      </c>
      <c r="C11" s="93"/>
      <c r="D11" s="93"/>
      <c r="E11" s="93">
        <v>5980</v>
      </c>
      <c r="F11" s="94">
        <v>0.67</v>
      </c>
    </row>
    <row r="12" spans="1:6" ht="27" customHeight="1">
      <c r="A12" s="89">
        <v>4039</v>
      </c>
      <c r="B12" s="90" t="s">
        <v>132</v>
      </c>
      <c r="C12" s="93"/>
      <c r="D12" s="93"/>
      <c r="E12" s="93">
        <v>-2703</v>
      </c>
      <c r="F12" s="94">
        <v>-0.01</v>
      </c>
    </row>
    <row r="13" spans="1:6" ht="27" customHeight="1">
      <c r="A13" s="89">
        <v>4050</v>
      </c>
      <c r="B13" s="90" t="s">
        <v>133</v>
      </c>
      <c r="C13" s="93"/>
      <c r="D13" s="93"/>
      <c r="E13" s="93">
        <v>-3246</v>
      </c>
      <c r="F13" s="94">
        <v>-0.43</v>
      </c>
    </row>
    <row r="14" spans="1:6" ht="27" customHeight="1">
      <c r="A14" s="89">
        <v>4053</v>
      </c>
      <c r="B14" s="90" t="s">
        <v>239</v>
      </c>
      <c r="C14" s="90"/>
      <c r="D14" s="90"/>
      <c r="E14" s="90">
        <v>575</v>
      </c>
      <c r="F14" s="90"/>
    </row>
    <row r="15" spans="1:6" ht="27" customHeight="1">
      <c r="A15" s="89">
        <v>4069</v>
      </c>
      <c r="B15" s="90" t="s">
        <v>135</v>
      </c>
      <c r="C15" s="93"/>
      <c r="D15" s="93"/>
      <c r="E15" s="93">
        <v>-14452</v>
      </c>
      <c r="F15" s="94">
        <v>-0.09</v>
      </c>
    </row>
    <row r="16" spans="1:6" ht="27" customHeight="1">
      <c r="A16" s="89">
        <v>4040</v>
      </c>
      <c r="B16" s="90" t="s">
        <v>136</v>
      </c>
      <c r="C16" s="93"/>
      <c r="D16" s="93"/>
      <c r="E16" s="93">
        <v>16101</v>
      </c>
      <c r="F16" s="94">
        <v>0.01</v>
      </c>
    </row>
    <row r="17" spans="1:6" ht="27" customHeight="1">
      <c r="A17" s="95"/>
      <c r="B17" s="96" t="s">
        <v>137</v>
      </c>
      <c r="C17" s="97"/>
      <c r="D17" s="97"/>
      <c r="E17" s="97">
        <v>1419579</v>
      </c>
      <c r="F17" s="98">
        <v>0.28999999999999998</v>
      </c>
    </row>
    <row r="18" spans="1:6" ht="27" customHeight="1">
      <c r="A18" s="95"/>
      <c r="B18" s="96" t="s">
        <v>138</v>
      </c>
      <c r="C18" s="97"/>
      <c r="D18" s="97"/>
      <c r="E18" s="97">
        <v>1403478</v>
      </c>
      <c r="F18" s="99">
        <v>0.46400000000000002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設定</vt:lpstr>
      <vt:lpstr>1.主機銷售台數</vt:lpstr>
      <vt:lpstr>2.門市週報 </vt:lpstr>
      <vt:lpstr>3.3PP配件比較</vt:lpstr>
      <vt:lpstr>4.3PP 銷售排名</vt:lpstr>
      <vt:lpstr>5.VAP銷售排名</vt:lpstr>
      <vt:lpstr>6.搭售統計_週</vt:lpstr>
      <vt:lpstr>7.搭售統計_月</vt:lpstr>
      <vt:lpstr>8.個人新制獎金</vt:lpstr>
      <vt:lpstr>9.個人週主機</vt:lpstr>
      <vt:lpstr>10.個人月主機</vt:lpstr>
      <vt:lpstr>11.個人月3PP</vt:lpstr>
      <vt:lpstr>12.月報YOY</vt:lpstr>
      <vt:lpstr>13.3PP YOY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</dc:creator>
  <cp:lastModifiedBy>SA</cp:lastModifiedBy>
  <dcterms:created xsi:type="dcterms:W3CDTF">2026-04-12T06:32:13Z</dcterms:created>
  <dcterms:modified xsi:type="dcterms:W3CDTF">2026-06-10T08:42:48Z</dcterms:modified>
</cp:coreProperties>
</file>