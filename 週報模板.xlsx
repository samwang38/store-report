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0" yWindow="680" windowWidth="28240" windowHeight="16740" tabRatio="600" firstSheet="3" activeTab="0" autoFilterDateGrouping="1"/>
  </bookViews>
  <sheets>
    <sheet name="設定" sheetId="1" state="visible" r:id="rId1"/>
    <sheet name="1.主機銷售台數" sheetId="2" state="visible" r:id="rId2"/>
    <sheet name="2.教育價" sheetId="3" state="visible" r:id="rId3"/>
    <sheet name="3.每月重點" sheetId="4" state="visible" r:id="rId4"/>
    <sheet name="4.Speakers" sheetId="5" state="visible" r:id="rId5"/>
    <sheet name="5.門市人流" sheetId="6" state="visible" r:id="rId6"/>
    <sheet name="6.門市週報" sheetId="7" state="visible" r:id="rId7"/>
    <sheet name="7.3PP配件比較" sheetId="8" state="visible" r:id="rId8"/>
    <sheet name="8.3PP 銷售排名" sheetId="9" state="visible" r:id="rId9"/>
    <sheet name="9.VAP銷售排名" sheetId="10" state="visible" r:id="rId10"/>
    <sheet name="10.搭售統計_週" sheetId="11" state="visible" r:id="rId11"/>
    <sheet name="11.搭售統計_月" sheetId="12" state="visible" r:id="rId12"/>
    <sheet name="12.個人新制獎金" sheetId="13" state="visible" r:id="rId13"/>
    <sheet name="13.個人週主機" sheetId="14" state="visible" r:id="rId14"/>
    <sheet name="14.個人月主機" sheetId="15" state="visible" r:id="rId15"/>
    <sheet name="15.個人月3PP" sheetId="16" state="visible" r:id="rId16"/>
    <sheet name="16.月報YOY" sheetId="17" state="visible" r:id="rId17"/>
    <sheet name="17.3PP YOY" sheetId="18" state="visible" r:id="rId18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_);[Red]\(0\)"/>
    <numFmt numFmtId="165" formatCode="0.0%"/>
    <numFmt numFmtId="166" formatCode="_(* #,##0_);_(* \(#,##0\);_(* &quot;-&quot;??_);_(@_)"/>
    <numFmt numFmtId="167" formatCode="yyyy\-mm\-dd"/>
  </numFmts>
  <fonts count="33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Arial"/>
      <family val="2"/>
      <sz val="18"/>
    </font>
    <font>
      <name val="Arial"/>
      <family val="2"/>
      <color rgb="FF000000"/>
      <sz val="18"/>
    </font>
    <font>
      <name val="Arial"/>
      <family val="2"/>
      <color rgb="FF000000"/>
      <sz val="15"/>
    </font>
    <font>
      <name val="Arial"/>
      <family val="2"/>
      <color rgb="FF000000"/>
      <sz val="20"/>
    </font>
    <font>
      <name val="Arial"/>
      <family val="2"/>
      <color rgb="FFFFFFFF"/>
      <sz val="12"/>
    </font>
    <font>
      <name val="Arial"/>
      <family val="2"/>
      <color rgb="FF000000"/>
      <sz val="12"/>
    </font>
    <font>
      <name val="Arial"/>
      <family val="2"/>
      <sz val="12"/>
    </font>
    <font>
      <name val="Arial"/>
      <family val="2"/>
      <color rgb="FF000000"/>
      <sz val="14"/>
    </font>
    <font>
      <name val="Microsoft JhengHei"/>
      <charset val="136"/>
      <family val="2"/>
      <color rgb="FF000000"/>
      <sz val="14"/>
    </font>
    <font>
      <name val="Arial"/>
      <family val="2"/>
      <sz val="14"/>
    </font>
    <font>
      <name val="Arial"/>
      <family val="2"/>
      <color rgb="FF000000"/>
      <sz val="11"/>
    </font>
    <font>
      <name val="Helvetica-Light"/>
      <color rgb="FFFFFFFF"/>
      <sz val="14"/>
    </font>
    <font>
      <name val="PingFangTC-Regular"/>
      <family val="1"/>
      <b val="1"/>
      <color rgb="FF0332FF"/>
      <sz val="14"/>
    </font>
    <font>
      <name val="HelveticaNeue"/>
      <color rgb="FF000000"/>
      <sz val="14"/>
    </font>
    <font>
      <name val="Arial"/>
      <family val="2"/>
      <b val="1"/>
      <color rgb="FF000000"/>
      <sz val="14"/>
    </font>
    <font>
      <name val="Arial"/>
      <family val="2"/>
      <b val="1"/>
      <color rgb="FF0332FF"/>
      <sz val="14"/>
    </font>
    <font>
      <name val="新細明體"/>
      <charset val="136"/>
      <family val="1"/>
      <b val="1"/>
      <color rgb="FFFFFFFF"/>
      <sz val="12"/>
    </font>
    <font>
      <name val="新細明體"/>
      <charset val="136"/>
      <family val="1"/>
      <i val="1"/>
      <color rgb="FF808080"/>
      <sz val="12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1"/>
      <color theme="1"/>
      <sz val="16"/>
      <scheme val="minor"/>
    </font>
    <font>
      <name val="新細明體"/>
      <charset val="136"/>
      <family val="2"/>
      <color theme="1"/>
      <sz val="14"/>
      <scheme val="minor"/>
    </font>
    <font>
      <name val="新細明體"/>
      <charset val="136"/>
      <family val="1"/>
      <color theme="1"/>
      <sz val="14"/>
      <scheme val="minor"/>
    </font>
    <font>
      <name val="Arial"/>
      <b val="1"/>
      <color rgb="00FFFFFF"/>
      <sz val="10"/>
    </font>
    <font>
      <name val="Arial"/>
      <color rgb="00111111"/>
      <sz val="13"/>
    </font>
    <font>
      <name val="Arial"/>
      <color rgb="00EF4335"/>
      <sz val="13"/>
    </font>
    <font>
      <name val="新細明體"/>
      <charset val="136"/>
      <family val="2"/>
      <color theme="0"/>
      <sz val="12"/>
      <scheme val="minor"/>
    </font>
    <font>
      <name val="新細明體"/>
      <charset val="136"/>
      <family val="1"/>
      <color theme="0"/>
      <sz val="12"/>
      <scheme val="minor"/>
    </font>
    <font>
      <name val="新細明體"/>
      <sz val="14"/>
    </font>
    <font>
      <name val="新細明體"/>
      <b val="1"/>
      <sz val="14"/>
    </font>
    <font>
      <name val="新細明體"/>
      <color theme="0"/>
      <sz val="14"/>
    </font>
    <font>
      <name val="新細明體"/>
      <b val="1"/>
      <color theme="0"/>
      <sz val="14"/>
    </font>
  </fonts>
  <fills count="41">
    <fill>
      <patternFill/>
    </fill>
    <fill>
      <patternFill patternType="gray125"/>
    </fill>
    <fill>
      <patternFill patternType="solid">
        <fgColor rgb="FF0264C0"/>
        <bgColor indexed="64"/>
      </patternFill>
    </fill>
    <fill>
      <patternFill patternType="solid">
        <fgColor rgb="FF51A7F9"/>
        <bgColor indexed="64"/>
      </patternFill>
    </fill>
    <fill>
      <patternFill patternType="solid">
        <fgColor rgb="FF55C1FF"/>
        <bgColor indexed="64"/>
      </patternFill>
    </fill>
    <fill>
      <patternFill patternType="solid">
        <fgColor rgb="FFFF968D"/>
        <bgColor indexed="64"/>
      </patternFill>
    </fill>
    <fill>
      <patternFill patternType="solid">
        <fgColor rgb="FFFFD931"/>
        <bgColor indexed="64"/>
      </patternFill>
    </fill>
    <fill>
      <patternFill patternType="solid">
        <fgColor rgb="FF00AB8E"/>
        <bgColor indexed="64"/>
      </patternFill>
    </fill>
    <fill>
      <patternFill patternType="solid">
        <fgColor rgb="FFF38F18"/>
        <bgColor indexed="64"/>
      </patternFill>
    </fill>
    <fill>
      <patternFill patternType="solid">
        <fgColor rgb="FFA2D5FB"/>
        <bgColor indexed="64"/>
      </patternFill>
    </fill>
    <fill>
      <patternFill patternType="solid">
        <fgColor rgb="FFFFD478"/>
        <bgColor indexed="64"/>
      </patternFill>
    </fill>
    <fill>
      <patternFill patternType="solid">
        <fgColor rgb="FFEDD2D2"/>
        <bgColor indexed="64"/>
      </patternFill>
    </fill>
    <fill>
      <patternFill patternType="solid">
        <fgColor rgb="FFD5D5D5"/>
        <bgColor indexed="64"/>
      </patternFill>
    </fill>
    <fill>
      <patternFill patternType="solid">
        <fgColor rgb="FF00A1FF"/>
        <bgColor indexed="64"/>
      </patternFill>
    </fill>
    <fill>
      <patternFill patternType="solid">
        <fgColor rgb="FFDCDEE0"/>
        <bgColor indexed="64"/>
      </patternFill>
    </fill>
    <fill>
      <patternFill patternType="solid">
        <fgColor rgb="FF6FBF40"/>
        <bgColor indexed="64"/>
      </patternFill>
    </fill>
    <fill>
      <patternFill patternType="solid">
        <fgColor rgb="FFF5D327"/>
        <bgColor indexed="64"/>
      </patternFill>
    </fill>
    <fill>
      <patternFill patternType="solid">
        <fgColor rgb="FFA2C173"/>
        <bgColor indexed="64"/>
      </patternFill>
    </fill>
    <fill>
      <patternFill patternType="solid">
        <fgColor rgb="FF4472C4"/>
      </patternFill>
    </fill>
    <fill>
      <patternFill patternType="solid">
        <fgColor rgb="FFFFA38D"/>
        <bgColor indexed="64"/>
      </patternFill>
    </fill>
    <fill>
      <patternFill patternType="solid">
        <fgColor rgb="FFF28A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004A4F55"/>
      </patternFill>
    </fill>
    <fill>
      <patternFill patternType="solid">
        <fgColor rgb="005D7182"/>
      </patternFill>
    </fill>
    <fill>
      <patternFill patternType="solid">
        <fgColor rgb="0091A7C1"/>
      </patternFill>
    </fill>
    <fill>
      <patternFill patternType="solid">
        <fgColor rgb="0095717E"/>
      </patternFill>
    </fill>
    <fill>
      <patternFill patternType="solid">
        <fgColor rgb="00BFA994"/>
      </patternFill>
    </fill>
    <fill>
      <patternFill patternType="solid">
        <fgColor rgb="0078847C"/>
      </patternFill>
    </fill>
    <fill>
      <patternFill patternType="solid">
        <fgColor rgb="00A66ADD"/>
      </patternFill>
    </fill>
    <fill>
      <patternFill patternType="solid">
        <fgColor rgb="00E3E6E9"/>
      </patternFill>
    </fill>
    <fill>
      <patternFill patternType="solid">
        <fgColor rgb="00FFFFFF"/>
      </patternFill>
    </fill>
    <fill>
      <patternFill patternType="solid">
        <fgColor rgb="00D7D9DB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D9EAD3"/>
      </patternFill>
    </fill>
    <fill>
      <patternFill patternType="solid">
        <fgColor theme="3" tint="0.25"/>
      </patternFill>
    </fill>
    <fill>
      <patternFill patternType="solid">
        <fgColor theme="3" tint="0.5"/>
      </patternFill>
    </fill>
    <fill>
      <patternFill patternType="solid">
        <fgColor theme="2" tint="-0.1"/>
      </patternFill>
    </fill>
    <fill>
      <patternFill patternType="solid">
        <fgColor theme="3" tint="0.9"/>
      </patternFill>
    </fill>
    <fill>
      <patternFill patternType="solid">
        <fgColor rgb="FFD9D2E9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00CDD2D7"/>
      </left>
      <right style="thin">
        <color rgb="00CDD2D7"/>
      </right>
      <top style="thin">
        <color rgb="00CDD2D7"/>
      </top>
      <bottom style="thin">
        <color rgb="008CA5C4"/>
      </bottom>
    </border>
    <border>
      <left style="thin">
        <color rgb="00CDD2D7"/>
      </left>
      <right style="thin">
        <color rgb="00CDD2D7"/>
      </right>
      <top style="thin">
        <color rgb="00CDD2D7"/>
      </top>
      <bottom style="thin">
        <color rgb="00CDD2D7"/>
      </bottom>
    </border>
    <border>
      <left style="thin">
        <color rgb="00CDD2D7"/>
      </left>
      <right style="thin">
        <color rgb="00CDD2D7"/>
      </right>
      <top style="medium">
        <color rgb="00222222"/>
      </top>
      <bottom style="medium">
        <color rgb="00222222"/>
      </bottom>
    </border>
    <border>
      <left style="thin">
        <color rgb="00CDD2D7"/>
      </left>
      <right style="thin">
        <color rgb="00CDD2D7"/>
      </right>
      <top style="thin">
        <color rgb="008CA5C4"/>
      </top>
      <bottom style="thin">
        <color rgb="008CA5C4"/>
      </bottom>
    </border>
    <border>
      <left style="thin">
        <color rgb="00CDD2D7"/>
      </left>
      <right style="thin">
        <color rgb="007C9AC0"/>
      </right>
      <top style="thin">
        <color rgb="00CDD2D7"/>
      </top>
      <bottom style="thin">
        <color rgb="008CA5C4"/>
      </bottom>
    </border>
    <border>
      <left style="thin">
        <color rgb="00CDD2D7"/>
      </left>
      <right style="medium">
        <color rgb="00222222"/>
      </right>
      <top style="thin">
        <color rgb="00CDD2D7"/>
      </top>
      <bottom style="thin">
        <color rgb="008CA5C4"/>
      </bottom>
    </border>
    <border>
      <left style="thin">
        <color rgb="00CDD2D7"/>
      </left>
      <right style="thin">
        <color rgb="007C9AC0"/>
      </right>
      <top style="thin">
        <color rgb="00CDD2D7"/>
      </top>
      <bottom style="thin">
        <color rgb="00CDD2D7"/>
      </bottom>
    </border>
    <border>
      <left style="thin">
        <color rgb="00CDD2D7"/>
      </left>
      <right style="medium">
        <color rgb="00222222"/>
      </right>
      <top style="thin">
        <color rgb="00CDD2D7"/>
      </top>
      <bottom style="thin">
        <color rgb="00CDD2D7"/>
      </bottom>
    </border>
    <border>
      <left style="thin">
        <color rgb="00CDD2D7"/>
      </left>
      <right style="thin">
        <color rgb="007C9AC0"/>
      </right>
      <top style="medium">
        <color rgb="00222222"/>
      </top>
      <bottom style="medium">
        <color rgb="00222222"/>
      </bottom>
    </border>
    <border>
      <left style="thin">
        <color rgb="00CDD2D7"/>
      </left>
      <right style="medium">
        <color rgb="00222222"/>
      </right>
      <top style="medium">
        <color rgb="00222222"/>
      </top>
      <bottom style="medium">
        <color rgb="00222222"/>
      </bottom>
    </border>
    <border>
      <left style="thin">
        <color rgb="00CDD2D7"/>
      </left>
      <right style="thin">
        <color rgb="007C9AC0"/>
      </right>
      <top style="thin">
        <color rgb="008CA5C4"/>
      </top>
      <bottom style="thin">
        <color rgb="008CA5C4"/>
      </bottom>
    </border>
    <border>
      <left style="thin">
        <color rgb="00CDD2D7"/>
      </left>
      <right style="medium">
        <color rgb="00222222"/>
      </right>
      <top style="thin">
        <color rgb="008CA5C4"/>
      </top>
      <bottom style="thin">
        <color rgb="008CA5C4"/>
      </bottom>
    </border>
  </borders>
  <cellStyleXfs count="2">
    <xf numFmtId="0" fontId="20" fillId="0" borderId="0" applyAlignment="1">
      <alignment vertical="center"/>
    </xf>
    <xf numFmtId="43" fontId="20" fillId="0" borderId="0" applyAlignment="1">
      <alignment vertical="center"/>
    </xf>
  </cellStyleXfs>
  <cellXfs count="188">
    <xf numFmtId="0" fontId="0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 readingOrder="1"/>
    </xf>
    <xf numFmtId="9" fontId="3" fillId="0" borderId="1" applyAlignment="1" pivotButton="0" quotePrefix="0" xfId="0">
      <alignment horizontal="left" vertical="center" wrapText="1" readingOrder="1"/>
    </xf>
    <xf numFmtId="9" fontId="3" fillId="12" borderId="1" applyAlignment="1" pivotButton="0" quotePrefix="0" xfId="0">
      <alignment horizontal="left" vertical="center" wrapText="1" readingOrder="1"/>
    </xf>
    <xf numFmtId="0" fontId="4" fillId="0" borderId="1" applyAlignment="1" pivotButton="0" quotePrefix="0" xfId="0">
      <alignment horizontal="center" vertical="center" wrapText="1" readingOrder="1"/>
    </xf>
    <xf numFmtId="3" fontId="3" fillId="0" borderId="1" applyAlignment="1" pivotButton="0" quotePrefix="0" xfId="0">
      <alignment horizontal="left" vertical="center" wrapText="1" readingOrder="1"/>
    </xf>
    <xf numFmtId="0" fontId="2" fillId="12" borderId="1" applyAlignment="1" pivotButton="0" quotePrefix="0" xfId="0">
      <alignment vertical="center" wrapText="1"/>
    </xf>
    <xf numFmtId="0" fontId="3" fillId="12" borderId="1" applyAlignment="1" pivotButton="0" quotePrefix="0" xfId="0">
      <alignment horizontal="center" vertical="center" wrapText="1" readingOrder="1"/>
    </xf>
    <xf numFmtId="3" fontId="3" fillId="12" borderId="1" applyAlignment="1" pivotButton="0" quotePrefix="0" xfId="0">
      <alignment horizontal="left" vertical="center" wrapText="1" readingOrder="1"/>
    </xf>
    <xf numFmtId="0" fontId="3" fillId="0" borderId="1" applyAlignment="1" pivotButton="0" quotePrefix="0" xfId="0">
      <alignment horizontal="center" vertical="center" wrapText="1" readingOrder="1"/>
    </xf>
    <xf numFmtId="0" fontId="5" fillId="13" borderId="1" applyAlignment="1" pivotButton="0" quotePrefix="0" xfId="0">
      <alignment horizontal="center" vertical="center" wrapText="1" readingOrder="1"/>
    </xf>
    <xf numFmtId="0" fontId="5" fillId="6" borderId="1" applyAlignment="1" pivotButton="0" quotePrefix="0" xfId="0">
      <alignment horizontal="center" vertical="center" wrapText="1" readingOrder="1"/>
    </xf>
    <xf numFmtId="0" fontId="5" fillId="7" borderId="1" applyAlignment="1" pivotButton="0" quotePrefix="0" xfId="0">
      <alignment horizontal="center" vertical="center" wrapText="1" readingOrder="1"/>
    </xf>
    <xf numFmtId="0" fontId="5" fillId="8" borderId="1" applyAlignment="1" pivotButton="0" quotePrefix="0" xfId="0">
      <alignment horizontal="center" vertical="center" wrapText="1" readingOrder="1"/>
    </xf>
    <xf numFmtId="0" fontId="3" fillId="6" borderId="1" applyAlignment="1" pivotButton="0" quotePrefix="0" xfId="0">
      <alignment horizontal="left" vertical="center" wrapText="1" readingOrder="1"/>
    </xf>
    <xf numFmtId="0" fontId="6" fillId="2" borderId="1" applyAlignment="1" pivotButton="0" quotePrefix="0" xfId="0">
      <alignment horizontal="center" vertical="center" wrapText="1" readingOrder="1"/>
    </xf>
    <xf numFmtId="0" fontId="7" fillId="0" borderId="1" applyAlignment="1" pivotButton="0" quotePrefix="0" xfId="0">
      <alignment horizontal="left" vertical="center" wrapText="1" readingOrder="1"/>
    </xf>
    <xf numFmtId="0" fontId="8" fillId="0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left" vertical="center" wrapText="1" readingOrder="1"/>
    </xf>
    <xf numFmtId="0" fontId="6" fillId="2" borderId="1" applyAlignment="1" pivotButton="0" quotePrefix="0" xfId="0">
      <alignment horizontal="left" vertical="center" wrapText="1" readingOrder="1"/>
    </xf>
    <xf numFmtId="0" fontId="9" fillId="0" borderId="1" applyAlignment="1" pivotButton="0" quotePrefix="0" xfId="0">
      <alignment horizontal="left" vertical="center" wrapText="1" readingOrder="1"/>
    </xf>
    <xf numFmtId="0" fontId="10" fillId="5" borderId="1" applyAlignment="1" pivotButton="0" quotePrefix="0" xfId="0">
      <alignment horizontal="center" vertical="center" wrapText="1" readingOrder="1"/>
    </xf>
    <xf numFmtId="0" fontId="9" fillId="6" borderId="1" applyAlignment="1" pivotButton="0" quotePrefix="0" xfId="0">
      <alignment horizontal="center" vertical="center" wrapText="1" readingOrder="1"/>
    </xf>
    <xf numFmtId="0" fontId="10" fillId="6" borderId="1" applyAlignment="1" pivotButton="0" quotePrefix="0" xfId="0">
      <alignment horizontal="center" vertical="center" wrapText="1" readingOrder="1"/>
    </xf>
    <xf numFmtId="0" fontId="9" fillId="5" borderId="1" applyAlignment="1" pivotButton="0" quotePrefix="0" xfId="0">
      <alignment horizontal="center" vertical="center" wrapText="1" readingOrder="1"/>
    </xf>
    <xf numFmtId="0" fontId="9" fillId="7" borderId="1" applyAlignment="1" pivotButton="0" quotePrefix="0" xfId="0">
      <alignment horizontal="center" vertical="center" wrapText="1" readingOrder="1"/>
    </xf>
    <xf numFmtId="0" fontId="9" fillId="8" borderId="1" applyAlignment="1" pivotButton="0" quotePrefix="0" xfId="0">
      <alignment horizontal="center" vertical="center" wrapText="1" readingOrder="1"/>
    </xf>
    <xf numFmtId="0" fontId="9" fillId="11" borderId="1" applyAlignment="1" pivotButton="0" quotePrefix="0" xfId="0">
      <alignment horizontal="left" vertical="center" wrapText="1" readingOrder="1"/>
    </xf>
    <xf numFmtId="0" fontId="9" fillId="12" borderId="1" applyAlignment="1" pivotButton="0" quotePrefix="0" xfId="0">
      <alignment horizontal="left" vertical="center" wrapText="1" readingOrder="1"/>
    </xf>
    <xf numFmtId="0" fontId="9" fillId="9" borderId="1" applyAlignment="1" pivotButton="0" quotePrefix="0" xfId="0">
      <alignment horizontal="right" vertical="center" wrapText="1" readingOrder="1"/>
    </xf>
    <xf numFmtId="0" fontId="9" fillId="0" borderId="1" applyAlignment="1" pivotButton="0" quotePrefix="0" xfId="0">
      <alignment horizontal="right" vertical="center" wrapText="1" readingOrder="1"/>
    </xf>
    <xf numFmtId="9" fontId="9" fillId="0" borderId="1" applyAlignment="1" pivotButton="0" quotePrefix="0" xfId="0">
      <alignment horizontal="right" vertical="center" wrapText="1" readingOrder="1"/>
    </xf>
    <xf numFmtId="0" fontId="11" fillId="0" borderId="1" applyAlignment="1" pivotButton="0" quotePrefix="0" xfId="0">
      <alignment horizontal="right" vertical="center" wrapText="1"/>
    </xf>
    <xf numFmtId="10" fontId="9" fillId="11" borderId="1" applyAlignment="1" pivotButton="0" quotePrefix="0" xfId="0">
      <alignment horizontal="right" vertical="center" wrapText="1" readingOrder="1"/>
    </xf>
    <xf numFmtId="9" fontId="9" fillId="11" borderId="1" applyAlignment="1" pivotButton="0" quotePrefix="0" xfId="0">
      <alignment horizontal="right" vertical="center" wrapText="1" readingOrder="1"/>
    </xf>
    <xf numFmtId="0" fontId="11" fillId="9" borderId="1" applyAlignment="1" pivotButton="0" quotePrefix="0" xfId="0">
      <alignment horizontal="right" vertical="center" wrapText="1"/>
    </xf>
    <xf numFmtId="0" fontId="11" fillId="11" borderId="1" applyAlignment="1" pivotButton="0" quotePrefix="0" xfId="0">
      <alignment horizontal="right" vertical="center" wrapText="1"/>
    </xf>
    <xf numFmtId="9" fontId="9" fillId="12" borderId="1" applyAlignment="1" pivotButton="0" quotePrefix="0" xfId="0">
      <alignment horizontal="right" vertical="center" wrapText="1" readingOrder="1"/>
    </xf>
    <xf numFmtId="0" fontId="13" fillId="2" borderId="1" applyAlignment="1" pivotButton="0" quotePrefix="0" xfId="0">
      <alignment horizontal="center" vertical="center" wrapText="1" readingOrder="1"/>
    </xf>
    <xf numFmtId="0" fontId="14" fillId="0" borderId="1" applyAlignment="1" pivotButton="0" quotePrefix="0" xfId="0">
      <alignment horizontal="center" vertical="center" wrapText="1" readingOrder="1"/>
    </xf>
    <xf numFmtId="0" fontId="15" fillId="0" borderId="1" applyAlignment="1" pivotButton="0" quotePrefix="0" xfId="0">
      <alignment horizontal="center" vertical="center" wrapText="1" readingOrder="1"/>
    </xf>
    <xf numFmtId="0" fontId="9" fillId="12" borderId="1" applyAlignment="1" pivotButton="0" quotePrefix="0" xfId="0">
      <alignment horizontal="center" vertical="center" wrapText="1" readingOrder="1"/>
    </xf>
    <xf numFmtId="0" fontId="16" fillId="14" borderId="1" applyAlignment="1" pivotButton="0" quotePrefix="0" xfId="0">
      <alignment horizontal="center" vertical="center" wrapText="1" readingOrder="1"/>
    </xf>
    <xf numFmtId="0" fontId="16" fillId="15" borderId="1" applyAlignment="1" pivotButton="0" quotePrefix="0" xfId="0">
      <alignment horizontal="center" vertical="center" wrapText="1" readingOrder="1"/>
    </xf>
    <xf numFmtId="0" fontId="16" fillId="16" borderId="1" applyAlignment="1" pivotButton="0" quotePrefix="0" xfId="0">
      <alignment horizontal="center" vertical="center" wrapText="1" readingOrder="1"/>
    </xf>
    <xf numFmtId="0" fontId="17" fillId="16" borderId="1" applyAlignment="1" pivotButton="0" quotePrefix="0" xfId="0">
      <alignment horizontal="center" vertical="center" wrapText="1" readingOrder="1"/>
    </xf>
    <xf numFmtId="0" fontId="16" fillId="8" borderId="1" applyAlignment="1" pivotButton="0" quotePrefix="0" xfId="0">
      <alignment horizontal="center" vertical="center" wrapText="1" readingOrder="1"/>
    </xf>
    <xf numFmtId="10" fontId="9" fillId="12" borderId="1" applyAlignment="1" pivotButton="0" quotePrefix="0" xfId="0">
      <alignment horizontal="left" vertical="center" wrapText="1" readingOrder="1"/>
    </xf>
    <xf numFmtId="11" fontId="9" fillId="12" borderId="1" applyAlignment="1" pivotButton="0" quotePrefix="0" xfId="0">
      <alignment horizontal="left" vertical="center" wrapText="1" readingOrder="1"/>
    </xf>
    <xf numFmtId="0" fontId="16" fillId="12" borderId="1" applyAlignment="1" pivotButton="0" quotePrefix="0" xfId="0">
      <alignment horizontal="center" vertical="center" wrapText="1" readingOrder="1"/>
    </xf>
    <xf numFmtId="0" fontId="9" fillId="0" borderId="1" applyAlignment="1" pivotButton="0" quotePrefix="0" xfId="0">
      <alignment horizontal="center" vertical="center" wrapText="1" readingOrder="1"/>
    </xf>
    <xf numFmtId="9" fontId="9" fillId="12" borderId="1" applyAlignment="1" pivotButton="0" quotePrefix="0" xfId="0">
      <alignment horizontal="center" vertical="center" wrapText="1" readingOrder="1"/>
    </xf>
    <xf numFmtId="0" fontId="12" fillId="6" borderId="1" applyAlignment="1" pivotButton="0" quotePrefix="0" xfId="0">
      <alignment horizontal="center" vertical="center" wrapText="1" readingOrder="1"/>
    </xf>
    <xf numFmtId="0" fontId="7" fillId="0" borderId="1" applyAlignment="1" pivotButton="0" quotePrefix="0" xfId="0">
      <alignment horizontal="center" vertical="center" wrapText="1" readingOrder="1"/>
    </xf>
    <xf numFmtId="0" fontId="9" fillId="4" borderId="1" applyAlignment="1" pivotButton="0" quotePrefix="0" xfId="0">
      <alignment horizontal="center" vertical="center" wrapText="1" readingOrder="1"/>
    </xf>
    <xf numFmtId="164" fontId="9" fillId="0" borderId="1" applyAlignment="1" pivotButton="0" quotePrefix="0" xfId="0">
      <alignment horizontal="center" vertical="center" wrapText="1" readingOrder="1"/>
    </xf>
    <xf numFmtId="164" fontId="9" fillId="12" borderId="1" applyAlignment="1" pivotButton="0" quotePrefix="0" xfId="0">
      <alignment horizontal="center" vertical="center" wrapText="1" readingOrder="1"/>
    </xf>
    <xf numFmtId="0" fontId="0" fillId="0" borderId="0" pivotButton="0" quotePrefix="0" xfId="0"/>
    <xf numFmtId="0" fontId="18" fillId="18" borderId="0" applyAlignment="1" pivotButton="0" quotePrefix="0" xfId="0">
      <alignment horizontal="center"/>
    </xf>
    <xf numFmtId="165" fontId="9" fillId="12" borderId="1" applyAlignment="1" pivotButton="0" quotePrefix="0" xfId="0">
      <alignment horizontal="left" vertical="center" wrapText="1" readingOrder="1"/>
    </xf>
    <xf numFmtId="1" fontId="9" fillId="12" borderId="1" applyAlignment="1" pivotButton="0" quotePrefix="0" xfId="0">
      <alignment horizontal="left" vertical="center" wrapText="1" readingOrder="1"/>
    </xf>
    <xf numFmtId="166" fontId="9" fillId="10" borderId="1" applyAlignment="1" pivotButton="0" quotePrefix="0" xfId="1">
      <alignment horizontal="right" vertical="center" wrapText="1" readingOrder="1"/>
    </xf>
    <xf numFmtId="167" fontId="0" fillId="0" borderId="0" pivotButton="0" quotePrefix="0" xfId="0"/>
    <xf numFmtId="165" fontId="9" fillId="11" borderId="1" applyAlignment="1" pivotButton="0" quotePrefix="0" xfId="0">
      <alignment horizontal="right" vertical="center" wrapText="1" readingOrder="1"/>
    </xf>
    <xf numFmtId="165" fontId="11" fillId="11" borderId="1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center" vertical="center" wrapText="1" readingOrder="1"/>
    </xf>
    <xf numFmtId="0" fontId="12" fillId="13" borderId="1" applyAlignment="1" pivotButton="0" quotePrefix="0" xfId="0">
      <alignment horizontal="center" vertical="center" wrapText="1" readingOrder="1"/>
    </xf>
    <xf numFmtId="0" fontId="12" fillId="17" borderId="1" applyAlignment="1" pivotButton="0" quotePrefix="0" xfId="0">
      <alignment horizontal="center" vertical="center" wrapText="1" readingOrder="1"/>
    </xf>
    <xf numFmtId="0" fontId="12" fillId="8" borderId="1" applyAlignment="1" pivotButton="0" quotePrefix="0" xfId="0">
      <alignment horizontal="center" vertical="center" wrapText="1" readingOrder="1"/>
    </xf>
    <xf numFmtId="0" fontId="12" fillId="7" borderId="1" applyAlignment="1" pivotButton="0" quotePrefix="0" xfId="0">
      <alignment horizontal="center" vertical="center" wrapText="1" readingOrder="1"/>
    </xf>
    <xf numFmtId="0" fontId="12" fillId="5" borderId="1" applyAlignment="1" pivotButton="0" quotePrefix="0" xfId="0">
      <alignment horizontal="center" vertical="center" wrapText="1" readingOrder="1"/>
    </xf>
    <xf numFmtId="9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3" fontId="0" fillId="0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10" fontId="0" fillId="0" borderId="7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9" fontId="0" fillId="0" borderId="7" applyAlignment="1" pivotButton="0" quotePrefix="0" xfId="0">
      <alignment vertical="center"/>
    </xf>
    <xf numFmtId="0" fontId="0" fillId="19" borderId="6" applyAlignment="1" pivotButton="0" quotePrefix="0" xfId="0">
      <alignment vertical="center"/>
    </xf>
    <xf numFmtId="10" fontId="0" fillId="19" borderId="0" applyAlignment="1" pivotButton="0" quotePrefix="0" xfId="0">
      <alignment vertical="center"/>
    </xf>
    <xf numFmtId="9" fontId="0" fillId="19" borderId="7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9" fontId="0" fillId="0" borderId="9" applyAlignment="1" pivotButton="0" quotePrefix="0" xfId="0">
      <alignment vertical="center"/>
    </xf>
    <xf numFmtId="10" fontId="0" fillId="19" borderId="7" applyAlignment="1" pivotButton="0" quotePrefix="0" xfId="0">
      <alignment vertical="center"/>
    </xf>
    <xf numFmtId="9" fontId="0" fillId="19" borderId="0" applyAlignment="1" pivotButton="0" quotePrefix="0" xfId="0">
      <alignment vertical="center"/>
    </xf>
    <xf numFmtId="0" fontId="0" fillId="20" borderId="4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21" fillId="0" borderId="1" applyAlignment="1" pivotButton="0" quotePrefix="0" xfId="0">
      <alignment vertical="center"/>
    </xf>
    <xf numFmtId="0" fontId="21" fillId="19" borderId="1" applyAlignment="1" pivotButton="0" quotePrefix="0" xfId="0">
      <alignment vertical="center"/>
    </xf>
    <xf numFmtId="0" fontId="21" fillId="21" borderId="1" applyAlignment="1" pivotButton="0" quotePrefix="0" xfId="0">
      <alignment vertical="center"/>
    </xf>
    <xf numFmtId="3" fontId="21" fillId="0" borderId="1" applyAlignment="1" pivotButton="0" quotePrefix="0" xfId="0">
      <alignment vertical="center"/>
    </xf>
    <xf numFmtId="9" fontId="21" fillId="0" borderId="1" applyAlignment="1" pivotButton="0" quotePrefix="0" xfId="0">
      <alignment vertical="center"/>
    </xf>
    <xf numFmtId="0" fontId="21" fillId="22" borderId="1" applyAlignment="1" pivotButton="0" quotePrefix="0" xfId="0">
      <alignment horizontal="center" vertical="center"/>
    </xf>
    <xf numFmtId="0" fontId="21" fillId="22" borderId="1" applyAlignment="1" pivotButton="0" quotePrefix="0" xfId="0">
      <alignment vertical="center"/>
    </xf>
    <xf numFmtId="3" fontId="21" fillId="22" borderId="1" applyAlignment="1" pivotButton="0" quotePrefix="0" xfId="0">
      <alignment vertical="center"/>
    </xf>
    <xf numFmtId="9" fontId="21" fillId="22" borderId="1" applyAlignment="1" pivotButton="0" quotePrefix="0" xfId="0">
      <alignment vertical="center"/>
    </xf>
    <xf numFmtId="10" fontId="21" fillId="22" borderId="1" applyAlignment="1" pivotButton="0" quotePrefix="0" xfId="0">
      <alignment vertical="center"/>
    </xf>
    <xf numFmtId="3" fontId="9" fillId="9" borderId="1" applyAlignment="1" pivotButton="0" quotePrefix="0" xfId="0">
      <alignment horizontal="right" vertical="center" wrapText="1" readingOrder="1"/>
    </xf>
    <xf numFmtId="3" fontId="9" fillId="0" borderId="1" applyAlignment="1" pivotButton="0" quotePrefix="0" xfId="0">
      <alignment horizontal="right" vertical="center" wrapText="1" readingOrder="1"/>
    </xf>
    <xf numFmtId="0" fontId="22" fillId="0" borderId="0" applyAlignment="1" pivotButton="0" quotePrefix="0" xfId="0">
      <alignment horizontal="center" vertical="center"/>
    </xf>
    <xf numFmtId="9" fontId="23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 wrapText="1"/>
    </xf>
    <xf numFmtId="0" fontId="19" fillId="0" borderId="0" pivotButton="0" quotePrefix="0" xfId="0"/>
    <xf numFmtId="0" fontId="0" fillId="0" borderId="0" pivotButton="0" quotePrefix="0" xfId="0"/>
    <xf numFmtId="0" fontId="0" fillId="21" borderId="5" applyAlignment="1" pivotButton="0" quotePrefix="0" xfId="0">
      <alignment horizontal="center" vertical="center"/>
    </xf>
    <xf numFmtId="0" fontId="0" fillId="0" borderId="5" pivotButton="0" quotePrefix="0" xfId="0"/>
    <xf numFmtId="167" fontId="0" fillId="0" borderId="0" pivotButton="0" quotePrefix="0" xfId="0"/>
    <xf numFmtId="166" fontId="9" fillId="10" borderId="1" applyAlignment="1" pivotButton="0" quotePrefix="0" xfId="1">
      <alignment horizontal="right" vertical="center" wrapText="1" readingOrder="1"/>
    </xf>
    <xf numFmtId="165" fontId="9" fillId="11" borderId="1" applyAlignment="1" pivotButton="0" quotePrefix="0" xfId="0">
      <alignment horizontal="right" vertical="center" wrapText="1" readingOrder="1"/>
    </xf>
    <xf numFmtId="165" fontId="11" fillId="11" borderId="1" applyAlignment="1" pivotButton="0" quotePrefix="0" xfId="0">
      <alignment horizontal="right" vertical="center" wrapText="1"/>
    </xf>
    <xf numFmtId="164" fontId="9" fillId="12" borderId="1" applyAlignment="1" pivotButton="0" quotePrefix="0" xfId="0">
      <alignment horizontal="center" vertical="center" wrapText="1" readingOrder="1"/>
    </xf>
    <xf numFmtId="164" fontId="9" fillId="0" borderId="1" applyAlignment="1" pivotButton="0" quotePrefix="0" xfId="0">
      <alignment horizontal="center" vertical="center" wrapText="1" readingOrder="1"/>
    </xf>
    <xf numFmtId="165" fontId="9" fillId="12" borderId="1" applyAlignment="1" pivotButton="0" quotePrefix="0" xfId="0">
      <alignment horizontal="left" vertical="center" wrapText="1" readingOrder="1"/>
    </xf>
    <xf numFmtId="0" fontId="24" fillId="23" borderId="10" applyAlignment="1" pivotButton="0" quotePrefix="0" xfId="0">
      <alignment horizontal="center" vertical="center" wrapText="1"/>
    </xf>
    <xf numFmtId="0" fontId="24" fillId="24" borderId="10" applyAlignment="1" pivotButton="0" quotePrefix="0" xfId="0">
      <alignment horizontal="center" vertical="center" wrapText="1"/>
    </xf>
    <xf numFmtId="0" fontId="24" fillId="24" borderId="14" applyAlignment="1" pivotButton="0" quotePrefix="0" xfId="0">
      <alignment horizontal="center" vertical="center" wrapText="1"/>
    </xf>
    <xf numFmtId="0" fontId="24" fillId="25" borderId="10" applyAlignment="1" pivotButton="0" quotePrefix="0" xfId="0">
      <alignment horizontal="center" vertical="center" wrapText="1"/>
    </xf>
    <xf numFmtId="0" fontId="24" fillId="25" borderId="14" applyAlignment="1" pivotButton="0" quotePrefix="0" xfId="0">
      <alignment horizontal="center" vertical="center" wrapText="1"/>
    </xf>
    <xf numFmtId="0" fontId="24" fillId="26" borderId="10" applyAlignment="1" pivotButton="0" quotePrefix="0" xfId="0">
      <alignment horizontal="center" vertical="center" wrapText="1"/>
    </xf>
    <xf numFmtId="0" fontId="24" fillId="26" borderId="14" applyAlignment="1" pivotButton="0" quotePrefix="0" xfId="0">
      <alignment horizontal="center" vertical="center" wrapText="1"/>
    </xf>
    <xf numFmtId="0" fontId="24" fillId="27" borderId="10" applyAlignment="1" pivotButton="0" quotePrefix="0" xfId="0">
      <alignment horizontal="center" vertical="center" wrapText="1"/>
    </xf>
    <xf numFmtId="0" fontId="24" fillId="27" borderId="14" applyAlignment="1" pivotButton="0" quotePrefix="0" xfId="0">
      <alignment horizontal="center" vertical="center" wrapText="1"/>
    </xf>
    <xf numFmtId="0" fontId="24" fillId="28" borderId="10" applyAlignment="1" pivotButton="0" quotePrefix="0" xfId="0">
      <alignment horizontal="center" vertical="center" wrapText="1"/>
    </xf>
    <xf numFmtId="0" fontId="24" fillId="28" borderId="14" applyAlignment="1" pivotButton="0" quotePrefix="0" xfId="0">
      <alignment horizontal="center" vertical="center" wrapText="1"/>
    </xf>
    <xf numFmtId="0" fontId="24" fillId="29" borderId="15" applyAlignment="1" pivotButton="0" quotePrefix="0" xfId="0">
      <alignment horizontal="center" vertical="center" wrapText="1"/>
    </xf>
    <xf numFmtId="0" fontId="24" fillId="23" borderId="11" applyAlignment="1" pivotButton="0" quotePrefix="0" xfId="0">
      <alignment horizontal="center" vertical="center" wrapText="1"/>
    </xf>
    <xf numFmtId="0" fontId="25" fillId="30" borderId="11" applyAlignment="1" pivotButton="0" quotePrefix="0" xfId="0">
      <alignment horizontal="center" vertical="center" wrapText="1"/>
    </xf>
    <xf numFmtId="9" fontId="25" fillId="30" borderId="11" applyAlignment="1" pivotButton="0" quotePrefix="0" xfId="0">
      <alignment horizontal="center" vertical="center" wrapText="1"/>
    </xf>
    <xf numFmtId="9" fontId="25" fillId="30" borderId="16" applyAlignment="1" pivotButton="0" quotePrefix="0" xfId="0">
      <alignment horizontal="center" vertical="center" wrapText="1"/>
    </xf>
    <xf numFmtId="9" fontId="25" fillId="30" borderId="17" applyAlignment="1" pivotButton="0" quotePrefix="0" xfId="0">
      <alignment horizontal="center" vertical="center" wrapText="1"/>
    </xf>
    <xf numFmtId="0" fontId="25" fillId="31" borderId="11" applyAlignment="1" pivotButton="0" quotePrefix="0" xfId="0">
      <alignment horizontal="center" vertical="center" wrapText="1"/>
    </xf>
    <xf numFmtId="9" fontId="26" fillId="31" borderId="11" applyAlignment="1" pivotButton="0" quotePrefix="0" xfId="0">
      <alignment horizontal="center" vertical="center" wrapText="1"/>
    </xf>
    <xf numFmtId="9" fontId="26" fillId="31" borderId="16" applyAlignment="1" pivotButton="0" quotePrefix="0" xfId="0">
      <alignment horizontal="center" vertical="center" wrapText="1"/>
    </xf>
    <xf numFmtId="9" fontId="26" fillId="31" borderId="17" applyAlignment="1" pivotButton="0" quotePrefix="0" xfId="0">
      <alignment horizontal="center" vertical="center" wrapText="1"/>
    </xf>
    <xf numFmtId="9" fontId="26" fillId="30" borderId="11" applyAlignment="1" pivotButton="0" quotePrefix="0" xfId="0">
      <alignment horizontal="center" vertical="center" wrapText="1"/>
    </xf>
    <xf numFmtId="9" fontId="26" fillId="30" borderId="16" applyAlignment="1" pivotButton="0" quotePrefix="0" xfId="0">
      <alignment horizontal="center" vertical="center" wrapText="1"/>
    </xf>
    <xf numFmtId="9" fontId="26" fillId="30" borderId="17" applyAlignment="1" pivotButton="0" quotePrefix="0" xfId="0">
      <alignment horizontal="center" vertical="center" wrapText="1"/>
    </xf>
    <xf numFmtId="9" fontId="25" fillId="31" borderId="11" applyAlignment="1" pivotButton="0" quotePrefix="0" xfId="0">
      <alignment horizontal="center" vertical="center" wrapText="1"/>
    </xf>
    <xf numFmtId="0" fontId="24" fillId="23" borderId="12" applyAlignment="1" pivotButton="0" quotePrefix="0" xfId="0">
      <alignment horizontal="center" vertical="center" wrapText="1"/>
    </xf>
    <xf numFmtId="0" fontId="25" fillId="32" borderId="12" applyAlignment="1" pivotButton="0" quotePrefix="0" xfId="0">
      <alignment horizontal="center" vertical="center" wrapText="1"/>
    </xf>
    <xf numFmtId="9" fontId="26" fillId="32" borderId="12" applyAlignment="1" pivotButton="0" quotePrefix="0" xfId="0">
      <alignment horizontal="center" vertical="center" wrapText="1"/>
    </xf>
    <xf numFmtId="9" fontId="26" fillId="32" borderId="18" applyAlignment="1" pivotButton="0" quotePrefix="0" xfId="0">
      <alignment horizontal="center" vertical="center" wrapText="1"/>
    </xf>
    <xf numFmtId="9" fontId="26" fillId="32" borderId="19" applyAlignment="1" pivotButton="0" quotePrefix="0" xfId="0">
      <alignment horizontal="center" vertical="center" wrapText="1"/>
    </xf>
    <xf numFmtId="0" fontId="24" fillId="23" borderId="13" applyAlignment="1" pivotButton="0" quotePrefix="0" xfId="0">
      <alignment horizontal="center" vertical="center" wrapText="1"/>
    </xf>
    <xf numFmtId="0" fontId="25" fillId="30" borderId="13" applyAlignment="1" pivotButton="0" quotePrefix="0" xfId="0">
      <alignment horizontal="center" vertical="center" wrapText="1"/>
    </xf>
    <xf numFmtId="9" fontId="26" fillId="30" borderId="13" applyAlignment="1" pivotButton="0" quotePrefix="0" xfId="0">
      <alignment horizontal="center" vertical="center" wrapText="1"/>
    </xf>
    <xf numFmtId="9" fontId="26" fillId="30" borderId="20" applyAlignment="1" pivotButton="0" quotePrefix="0" xfId="0">
      <alignment horizontal="center" vertical="center" wrapText="1"/>
    </xf>
    <xf numFmtId="9" fontId="26" fillId="30" borderId="21" applyAlignment="1" pivotButton="0" quotePrefix="0" xfId="0">
      <alignment horizontal="center" vertical="center" wrapText="1"/>
    </xf>
    <xf numFmtId="0" fontId="25" fillId="31" borderId="13" applyAlignment="1" pivotButton="0" quotePrefix="0" xfId="0">
      <alignment horizontal="center" vertical="center" wrapText="1"/>
    </xf>
    <xf numFmtId="9" fontId="26" fillId="31" borderId="13" applyAlignment="1" pivotButton="0" quotePrefix="0" xfId="0">
      <alignment horizontal="center" vertical="center" wrapText="1"/>
    </xf>
    <xf numFmtId="9" fontId="26" fillId="31" borderId="20" applyAlignment="1" pivotButton="0" quotePrefix="0" xfId="0">
      <alignment horizontal="center" vertical="center" wrapText="1"/>
    </xf>
    <xf numFmtId="9" fontId="26" fillId="31" borderId="21" applyAlignment="1" pivotButton="0" quotePrefix="0" xfId="0">
      <alignment horizontal="center" vertical="center" wrapText="1"/>
    </xf>
    <xf numFmtId="9" fontId="25" fillId="31" borderId="16" applyAlignment="1" pivotButton="0" quotePrefix="0" xfId="0">
      <alignment horizontal="center" vertical="center" wrapText="1"/>
    </xf>
    <xf numFmtId="0" fontId="27" fillId="33" borderId="0" applyAlignment="1" pivotButton="0" quotePrefix="0" xfId="0">
      <alignment horizontal="center" vertical="center"/>
    </xf>
    <xf numFmtId="0" fontId="28" fillId="33" borderId="0" applyAlignment="1" pivotButton="0" quotePrefix="0" xfId="0">
      <alignment horizontal="center" vertical="center"/>
    </xf>
    <xf numFmtId="0" fontId="20" fillId="34" borderId="0" applyAlignment="1" pivotButton="0" quotePrefix="0" xfId="0">
      <alignment horizontal="center" vertical="center"/>
    </xf>
    <xf numFmtId="0" fontId="20" fillId="0" borderId="0" pivotButton="0" quotePrefix="0" xfId="0"/>
    <xf numFmtId="3" fontId="20" fillId="0" borderId="0" applyAlignment="1" pivotButton="0" quotePrefix="0" xfId="0">
      <alignment horizontal="center" vertical="center"/>
    </xf>
    <xf numFmtId="0" fontId="27" fillId="33" borderId="0" applyAlignment="1" pivotButton="0" quotePrefix="0" xfId="0">
      <alignment vertical="center"/>
    </xf>
    <xf numFmtId="0" fontId="28" fillId="33" borderId="0" applyAlignment="1" pivotButton="0" quotePrefix="0" xfId="0">
      <alignment vertical="center"/>
    </xf>
    <xf numFmtId="0" fontId="20" fillId="34" borderId="0" applyAlignment="1" pivotButton="0" quotePrefix="0" xfId="0">
      <alignment vertical="center"/>
    </xf>
    <xf numFmtId="3" fontId="20" fillId="0" borderId="0" applyAlignment="1" pivotButton="0" quotePrefix="0" xfId="0">
      <alignment vertical="center"/>
    </xf>
    <xf numFmtId="0" fontId="20" fillId="21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2" fillId="35" borderId="1" applyAlignment="1" pivotButton="0" quotePrefix="0" xfId="0">
      <alignment horizontal="center" vertical="center" wrapText="1" readingOrder="1"/>
    </xf>
    <xf numFmtId="3" fontId="9" fillId="0" borderId="1" applyAlignment="1" pivotButton="0" quotePrefix="0" xfId="0">
      <alignment horizontal="center" vertical="center" wrapText="1" readingOrder="1"/>
    </xf>
    <xf numFmtId="3" fontId="9" fillId="12" borderId="1" applyAlignment="1" pivotButton="0" quotePrefix="0" xfId="0">
      <alignment horizontal="center" vertical="center" wrapText="1" readingOrder="1"/>
    </xf>
    <xf numFmtId="0" fontId="29" fillId="0" borderId="0" applyAlignment="1" pivotButton="0" quotePrefix="0" xfId="0">
      <alignment horizontal="center" vertical="center"/>
    </xf>
    <xf numFmtId="0" fontId="29" fillId="36" borderId="0" applyAlignment="1" pivotButton="0" quotePrefix="0" xfId="0">
      <alignment horizontal="center" vertical="center" wrapText="1"/>
    </xf>
    <xf numFmtId="0" fontId="29" fillId="37" borderId="0" applyAlignment="1" pivotButton="0" quotePrefix="0" xfId="0">
      <alignment horizontal="center" vertical="center"/>
    </xf>
    <xf numFmtId="3" fontId="29" fillId="0" borderId="0" applyAlignment="1" pivotButton="0" quotePrefix="0" xfId="0">
      <alignment horizontal="center" vertical="center"/>
    </xf>
    <xf numFmtId="9" fontId="29" fillId="0" borderId="0" applyAlignment="1" pivotButton="0" quotePrefix="0" xfId="0">
      <alignment horizontal="center" vertical="center"/>
    </xf>
    <xf numFmtId="10" fontId="29" fillId="0" borderId="0" applyAlignment="1" pivotButton="0" quotePrefix="0" xfId="0">
      <alignment horizontal="center" vertical="center"/>
    </xf>
    <xf numFmtId="0" fontId="30" fillId="37" borderId="0" applyAlignment="1" pivotButton="0" quotePrefix="0" xfId="0">
      <alignment horizontal="center" vertical="center"/>
    </xf>
    <xf numFmtId="0" fontId="29" fillId="36" borderId="0" applyAlignment="1" pivotButton="0" quotePrefix="0" xfId="0">
      <alignment horizontal="center" vertical="center"/>
    </xf>
    <xf numFmtId="10" fontId="29" fillId="38" borderId="0" applyAlignment="1" pivotButton="0" quotePrefix="0" xfId="0">
      <alignment horizontal="center" vertical="center"/>
    </xf>
    <xf numFmtId="0" fontId="29" fillId="39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31" fillId="36" borderId="0" applyAlignment="1" pivotButton="0" quotePrefix="0" xfId="0">
      <alignment horizontal="center" vertical="center" wrapText="1"/>
    </xf>
    <xf numFmtId="0" fontId="31" fillId="37" borderId="0" applyAlignment="1" pivotButton="0" quotePrefix="0" xfId="0">
      <alignment horizontal="center" vertical="center"/>
    </xf>
    <xf numFmtId="0" fontId="32" fillId="37" borderId="0" applyAlignment="1" pivotButton="0" quotePrefix="0" xfId="0">
      <alignment horizontal="center" vertical="center"/>
    </xf>
    <xf numFmtId="0" fontId="31" fillId="36" borderId="0" applyAlignment="1" pivotButton="0" quotePrefix="0" xfId="0">
      <alignment horizontal="center" vertical="center"/>
    </xf>
    <xf numFmtId="9" fontId="11" fillId="11" borderId="1" applyAlignment="1" pivotButton="0" quotePrefix="0" xfId="0">
      <alignment horizontal="right" vertical="center" wrapText="1"/>
    </xf>
    <xf numFmtId="0" fontId="12" fillId="40" borderId="1" applyAlignment="1" pivotButton="0" quotePrefix="0" xfId="0">
      <alignment horizontal="center" vertical="center" wrapText="1" readingOrder="1"/>
    </xf>
    <xf numFmtId="165" fontId="9" fillId="12" borderId="1" applyAlignment="1" pivotButton="0" quotePrefix="0" xfId="0">
      <alignment horizontal="center" vertical="center" wrapText="1" readingOrder="1"/>
    </xf>
  </cellXfs>
  <cellStyles count="2">
    <cellStyle name="一般" xfId="0" builtinId="0"/>
    <cellStyle name="千分位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D20" sqref="D20"/>
    </sheetView>
  </sheetViews>
  <sheetFormatPr baseColWidth="10" defaultColWidth="8.83203125" defaultRowHeight="15"/>
  <cols>
    <col width="14" customWidth="1" style="106" min="1" max="2"/>
    <col width="14.1640625" customWidth="1" style="106" min="4" max="4"/>
  </cols>
  <sheetData>
    <row r="1">
      <c r="A1" s="58" t="inlineStr">
        <is>
          <t>員工代碼</t>
        </is>
      </c>
      <c r="B1" s="58" t="inlineStr">
        <is>
          <t>顯示名稱</t>
        </is>
      </c>
      <c r="D1" s="0" t="inlineStr">
        <is>
          <t>年度起始日</t>
        </is>
      </c>
    </row>
    <row r="2">
      <c r="A2" s="0" t="inlineStr">
        <is>
          <t>SA1092</t>
        </is>
      </c>
      <c r="B2" s="0" t="inlineStr">
        <is>
          <t>Sam</t>
        </is>
      </c>
      <c r="D2" s="109" t="n">
        <v>46292</v>
      </c>
    </row>
    <row r="3">
      <c r="A3" s="0" t="inlineStr">
        <is>
          <t>SA1614</t>
        </is>
      </c>
      <c r="B3" s="0" t="inlineStr">
        <is>
          <t>Dean</t>
        </is>
      </c>
    </row>
    <row r="4">
      <c r="A4" s="0" t="inlineStr">
        <is>
          <t>SA1893</t>
        </is>
      </c>
      <c r="B4" s="0" t="inlineStr">
        <is>
          <t>Jun</t>
        </is>
      </c>
    </row>
    <row r="5">
      <c r="A5" s="0" t="inlineStr">
        <is>
          <t>SA2765</t>
        </is>
      </c>
      <c r="B5" s="0" t="inlineStr">
        <is>
          <t>Nana</t>
        </is>
      </c>
    </row>
    <row r="6">
      <c r="A6" s="0" t="inlineStr">
        <is>
          <t>SA3011</t>
        </is>
      </c>
      <c r="B6" s="0" t="inlineStr">
        <is>
          <t>Zoe</t>
        </is>
      </c>
    </row>
    <row r="7">
      <c r="A7" s="0" t="inlineStr">
        <is>
          <t>SA3154</t>
        </is>
      </c>
      <c r="B7" s="0" t="inlineStr">
        <is>
          <t>Winter</t>
        </is>
      </c>
    </row>
    <row r="8">
      <c r="A8" s="0" t="inlineStr">
        <is>
          <t>SA3221</t>
        </is>
      </c>
      <c r="B8" s="0" t="inlineStr">
        <is>
          <t>Tanya</t>
        </is>
      </c>
    </row>
    <row r="10">
      <c r="A10" s="105" t="inlineStr">
        <is>
          <t>※ 修改此表後重新執行腳本即可，無需更動 Python 程式</t>
        </is>
      </c>
    </row>
  </sheetData>
  <mergeCells count="1">
    <mergeCell ref="A10:B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4"/>
  <sheetViews>
    <sheetView zoomScale="91" workbookViewId="0">
      <selection activeCell="R24" sqref="R24"/>
    </sheetView>
  </sheetViews>
  <sheetFormatPr baseColWidth="10" defaultRowHeight="15"/>
  <cols>
    <col width="31" bestFit="1" customWidth="1" style="106" min="1" max="1"/>
  </cols>
  <sheetData>
    <row r="1" ht="17" customHeight="1" s="106">
      <c r="A1" s="15" t="inlineStr">
        <is>
          <t>Class Name</t>
        </is>
      </c>
      <c r="B1" s="15" t="inlineStr">
        <is>
          <t>W13</t>
        </is>
      </c>
      <c r="C1" s="15" t="inlineStr">
        <is>
          <t>W01</t>
        </is>
      </c>
      <c r="D1" s="15" t="inlineStr">
        <is>
          <t>W02</t>
        </is>
      </c>
      <c r="E1" s="15" t="inlineStr">
        <is>
          <t>W03</t>
        </is>
      </c>
      <c r="F1" s="15" t="inlineStr">
        <is>
          <t>W04</t>
        </is>
      </c>
      <c r="G1" s="15" t="inlineStr">
        <is>
          <t>W05</t>
        </is>
      </c>
      <c r="H1" s="15" t="inlineStr">
        <is>
          <t>W06</t>
        </is>
      </c>
      <c r="I1" s="15" t="inlineStr">
        <is>
          <t>W07</t>
        </is>
      </c>
      <c r="J1" s="15" t="inlineStr">
        <is>
          <t>W08</t>
        </is>
      </c>
      <c r="K1" s="15" t="inlineStr">
        <is>
          <t>W09</t>
        </is>
      </c>
      <c r="L1" s="15" t="inlineStr">
        <is>
          <t>W10</t>
        </is>
      </c>
      <c r="M1" s="15" t="inlineStr">
        <is>
          <t>W11</t>
        </is>
      </c>
      <c r="N1" s="15" t="inlineStr">
        <is>
          <t>W12</t>
        </is>
      </c>
      <c r="O1" s="15" t="inlineStr">
        <is>
          <t>W13</t>
        </is>
      </c>
      <c r="P1" s="15" t="inlineStr">
        <is>
          <t>Total</t>
        </is>
      </c>
    </row>
    <row r="2" ht="17" customHeight="1" s="106">
      <c r="A2" s="16" t="inlineStr">
        <is>
          <t>iMac</t>
        </is>
      </c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8" t="n"/>
    </row>
    <row r="3" ht="17" customHeight="1" s="106">
      <c r="A3" s="16" t="inlineStr">
        <is>
          <t>Mac mini</t>
        </is>
      </c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8" t="n"/>
    </row>
    <row r="4" ht="17" customHeight="1" s="106">
      <c r="A4" s="16" t="inlineStr">
        <is>
          <t>Macbook Pro 14吋</t>
        </is>
      </c>
      <c r="B4" s="16" t="n"/>
      <c r="C4" s="17" t="n"/>
      <c r="D4" s="17" t="n"/>
      <c r="E4" s="17" t="n"/>
      <c r="F4" s="17" t="n"/>
      <c r="G4" s="17" t="n"/>
      <c r="H4" s="17" t="n"/>
      <c r="I4" s="17" t="n"/>
      <c r="J4" s="17" t="n"/>
      <c r="K4" s="17" t="n"/>
      <c r="L4" s="17" t="n"/>
      <c r="M4" s="17" t="n"/>
      <c r="N4" s="17" t="n"/>
      <c r="O4" s="17" t="n"/>
      <c r="P4" s="18" t="n"/>
    </row>
    <row r="5" ht="17" customHeight="1" s="106">
      <c r="A5" s="16" t="inlineStr">
        <is>
          <t>Macbook Pro 16吋</t>
        </is>
      </c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8" t="n"/>
    </row>
    <row r="6" ht="17" customHeight="1" s="106">
      <c r="A6" s="16" t="inlineStr">
        <is>
          <t>Macbook Air 13吋</t>
        </is>
      </c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8" t="n"/>
    </row>
    <row r="7" ht="17" customHeight="1" s="106">
      <c r="A7" s="16" t="inlineStr">
        <is>
          <t>Macbook Air 15吋</t>
        </is>
      </c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8" t="n"/>
    </row>
    <row r="8" ht="17" customHeight="1" s="106">
      <c r="A8" s="16" t="inlineStr">
        <is>
          <t>Macbook Neo</t>
        </is>
      </c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8" t="n"/>
    </row>
    <row r="9" ht="17" customHeight="1" s="106">
      <c r="A9" s="19" t="inlineStr">
        <is>
          <t>CPU 合計</t>
        </is>
      </c>
      <c r="B9" s="19" t="n"/>
      <c r="C9" s="19" t="n"/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</row>
    <row r="10" ht="17" customHeight="1" s="106">
      <c r="A10" s="16" t="inlineStr">
        <is>
          <t>AirPods Pro 3</t>
        </is>
      </c>
      <c r="B10" s="16" t="n"/>
      <c r="C10" s="16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8" t="n"/>
    </row>
    <row r="11" ht="17" customHeight="1" s="106">
      <c r="A11" s="16" t="inlineStr">
        <is>
          <t>AirPods 4 主動降噪</t>
        </is>
      </c>
      <c r="B11" s="16" t="n"/>
      <c r="C11" s="16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8" t="n"/>
    </row>
    <row r="12" ht="17" customHeight="1" s="106">
      <c r="A12" s="16" t="inlineStr">
        <is>
          <t>AirPdos 4</t>
        </is>
      </c>
      <c r="B12" s="16" t="n"/>
      <c r="C12" s="16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8" t="n"/>
    </row>
    <row r="13" ht="17" customHeight="1" s="106">
      <c r="A13" s="16" t="inlineStr">
        <is>
          <t>AirPods 5</t>
        </is>
      </c>
      <c r="B13" s="16" t="n"/>
      <c r="C13" s="16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8" t="n"/>
    </row>
    <row r="14" ht="17" customHeight="1" s="106">
      <c r="A14" s="16" t="inlineStr">
        <is>
          <t>AirPods Max</t>
        </is>
      </c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8" t="n"/>
    </row>
    <row r="15" ht="17" customHeight="1" s="106">
      <c r="A15" s="16" t="inlineStr">
        <is>
          <t>HomePod MIni</t>
        </is>
      </c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8" t="n"/>
    </row>
    <row r="16" ht="17" customHeight="1" s="106">
      <c r="A16" s="16" t="inlineStr">
        <is>
          <t>HomePod</t>
        </is>
      </c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8" t="n"/>
    </row>
    <row r="17" ht="17" customHeight="1" s="106">
      <c r="A17" s="19" t="inlineStr">
        <is>
          <t>音頻合計</t>
        </is>
      </c>
      <c r="B17" s="19" t="n"/>
      <c r="C17" s="19" t="n"/>
      <c r="D17" s="19" t="n"/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</row>
    <row r="18" ht="17" customHeight="1" s="106">
      <c r="A18" s="16" t="inlineStr">
        <is>
          <t>AppleWatch S11</t>
        </is>
      </c>
      <c r="B18" s="16" t="n"/>
      <c r="C18" s="16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8" t="n"/>
    </row>
    <row r="19" ht="17" customHeight="1" s="106">
      <c r="A19" s="16" t="inlineStr">
        <is>
          <t>AppleWatch S12</t>
        </is>
      </c>
      <c r="B19" s="16" t="n"/>
      <c r="C19" s="16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8" t="n"/>
    </row>
    <row r="20" ht="17" customHeight="1" s="106">
      <c r="A20" s="16" t="inlineStr">
        <is>
          <t>AppleWatch Ultra 3</t>
        </is>
      </c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8" t="n"/>
    </row>
    <row r="21" ht="17" customHeight="1" s="106">
      <c r="A21" s="16" t="inlineStr">
        <is>
          <t>AppleWatch Ultra 4</t>
        </is>
      </c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8" t="n"/>
    </row>
    <row r="22" ht="17" customHeight="1" s="106">
      <c r="A22" s="16" t="inlineStr">
        <is>
          <t>AppleWatch SE3</t>
        </is>
      </c>
      <c r="B22" s="16" t="n"/>
      <c r="C22" s="16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8" t="n"/>
    </row>
    <row r="23" ht="17" customHeight="1" s="106">
      <c r="A23" s="19" t="inlineStr">
        <is>
          <t>AppleWatch 合計</t>
        </is>
      </c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</row>
    <row r="24" ht="17" customHeight="1" s="106">
      <c r="A24" s="16" t="inlineStr">
        <is>
          <t>iPhone 17</t>
        </is>
      </c>
      <c r="B24" s="16" t="n"/>
      <c r="C24" s="16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8" t="n"/>
    </row>
    <row r="25" ht="17" customHeight="1" s="106">
      <c r="A25" s="16" t="inlineStr">
        <is>
          <t>iPhone Air</t>
        </is>
      </c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8" t="n"/>
    </row>
    <row r="26" ht="17" customHeight="1" s="106">
      <c r="A26" s="16" t="inlineStr">
        <is>
          <t>iPhone 17 Pro</t>
        </is>
      </c>
      <c r="B26" s="16" t="n"/>
      <c r="C26" s="16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8" t="n"/>
    </row>
    <row r="27" ht="17" customHeight="1" s="106">
      <c r="A27" s="16" t="inlineStr">
        <is>
          <t>iPhone 17 Pro Max</t>
        </is>
      </c>
      <c r="B27" s="16" t="n"/>
      <c r="C27" s="16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8" t="n"/>
    </row>
    <row r="28" ht="17" customHeight="1" s="106">
      <c r="A28" s="16" t="inlineStr">
        <is>
          <t>iPhone 17e</t>
        </is>
      </c>
      <c r="B28" s="16" t="n"/>
      <c r="C28" s="16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8" t="n"/>
    </row>
    <row r="29" ht="17" customHeight="1" s="106">
      <c r="A29" s="16" t="inlineStr">
        <is>
          <t>iPhone 18 Pro</t>
        </is>
      </c>
      <c r="B29" s="16" t="n"/>
      <c r="C29" s="16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8" t="n"/>
    </row>
    <row r="30" ht="17" customHeight="1" s="106">
      <c r="A30" s="16" t="inlineStr">
        <is>
          <t>iPhone 18 Pro Max</t>
        </is>
      </c>
      <c r="B30" s="16" t="n"/>
      <c r="C30" s="16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8" t="n"/>
    </row>
    <row r="31" ht="17" customHeight="1" s="106">
      <c r="A31" s="16" t="inlineStr">
        <is>
          <t>iPhone Duo</t>
        </is>
      </c>
      <c r="B31" s="16" t="n"/>
      <c r="C31" s="16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8" t="n"/>
    </row>
    <row r="32" ht="17" customHeight="1" s="106">
      <c r="A32" s="19" t="inlineStr">
        <is>
          <t>iPhone 合計</t>
        </is>
      </c>
      <c r="B32" s="19" t="n"/>
      <c r="C32" s="19" t="n"/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</row>
    <row r="33" ht="17" customHeight="1" s="106">
      <c r="A33" s="16" t="inlineStr">
        <is>
          <t>iPad A16</t>
        </is>
      </c>
      <c r="B33" s="16" t="n"/>
      <c r="C33" s="16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8" t="n"/>
    </row>
    <row r="34" ht="17" customHeight="1" s="106">
      <c r="A34" s="16" t="inlineStr">
        <is>
          <t>iPad Air 11</t>
        </is>
      </c>
      <c r="B34" s="17" t="n"/>
      <c r="C34" s="16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8" t="n"/>
    </row>
    <row r="35" ht="17" customHeight="1" s="106">
      <c r="A35" s="16" t="inlineStr">
        <is>
          <t>iPad Air 13</t>
        </is>
      </c>
      <c r="B35" s="17" t="n"/>
      <c r="C35" s="16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8" t="n"/>
    </row>
    <row r="36" ht="17" customHeight="1" s="106">
      <c r="A36" s="16" t="inlineStr">
        <is>
          <t>iPad Pro 11 M5</t>
        </is>
      </c>
      <c r="B36" s="16" t="n"/>
      <c r="C36" s="16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8" t="n"/>
    </row>
    <row r="37" ht="17" customHeight="1" s="106">
      <c r="A37" s="16" t="inlineStr">
        <is>
          <t>iPad Pro 13 M5</t>
        </is>
      </c>
      <c r="B37" s="16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8" t="n"/>
    </row>
    <row r="38" ht="17" customHeight="1" s="106">
      <c r="A38" s="16" t="inlineStr">
        <is>
          <t>iPad mini</t>
        </is>
      </c>
      <c r="B38" s="16" t="n"/>
      <c r="C38" s="16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8" t="n"/>
    </row>
    <row r="39" ht="17" customHeight="1" s="106">
      <c r="A39" s="19" t="inlineStr">
        <is>
          <t>iPad 合計</t>
        </is>
      </c>
      <c r="B39" s="19" t="n"/>
      <c r="C39" s="19" t="n"/>
      <c r="D39" s="19" t="n"/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19" t="n"/>
      <c r="O39" s="19" t="n"/>
      <c r="P39" s="19" t="n"/>
    </row>
    <row r="40" ht="17" customHeight="1" s="106">
      <c r="A40" s="16" t="inlineStr">
        <is>
          <t>Apple Pencil 第一代</t>
        </is>
      </c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8" t="n"/>
    </row>
    <row r="41" ht="17" customHeight="1" s="106">
      <c r="A41" s="16" t="inlineStr">
        <is>
          <t>Apple Pencil 第二代</t>
        </is>
      </c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8" t="n"/>
    </row>
    <row r="42" ht="17" customHeight="1" s="106">
      <c r="A42" s="16" t="inlineStr">
        <is>
          <t>Apple Pencil (USB-C)</t>
        </is>
      </c>
      <c r="B42" s="16" t="n"/>
      <c r="C42" s="16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8" t="n"/>
    </row>
    <row r="43" ht="17" customHeight="1" s="106">
      <c r="A43" s="16" t="inlineStr">
        <is>
          <t>Apple Pencil Pro</t>
        </is>
      </c>
      <c r="B43" s="16" t="n"/>
      <c r="C43" s="16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8" t="n"/>
    </row>
    <row r="44" ht="17" customHeight="1" s="106">
      <c r="A44" s="19" t="inlineStr">
        <is>
          <t>Apple Pencil 合計</t>
        </is>
      </c>
      <c r="B44" s="19" t="n"/>
      <c r="C44" s="19" t="n"/>
      <c r="D44" s="19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n"/>
      <c r="P44" s="19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14.83203125" customWidth="1" style="106" min="1" max="1"/>
  </cols>
  <sheetData>
    <row r="1" ht="23" customHeight="1" s="106">
      <c r="A1" s="177" t="inlineStr">
        <is>
          <t>總銷售台數</t>
        </is>
      </c>
      <c r="B1" s="177" t="inlineStr">
        <is>
          <t>W1</t>
        </is>
      </c>
      <c r="C1" s="177" t="inlineStr">
        <is>
          <t>W2</t>
        </is>
      </c>
      <c r="D1" s="177" t="inlineStr">
        <is>
          <t>W3</t>
        </is>
      </c>
      <c r="E1" s="177" t="inlineStr">
        <is>
          <t>W4</t>
        </is>
      </c>
      <c r="F1" s="177" t="inlineStr">
        <is>
          <t>W5</t>
        </is>
      </c>
      <c r="G1" s="177" t="inlineStr">
        <is>
          <t>W6</t>
        </is>
      </c>
      <c r="H1" s="177" t="inlineStr">
        <is>
          <t>W7</t>
        </is>
      </c>
      <c r="I1" s="177" t="inlineStr">
        <is>
          <t>W8</t>
        </is>
      </c>
      <c r="J1" s="177" t="inlineStr">
        <is>
          <t>W9</t>
        </is>
      </c>
      <c r="K1" s="177" t="inlineStr">
        <is>
          <t>W10</t>
        </is>
      </c>
      <c r="L1" s="177" t="inlineStr">
        <is>
          <t>W11</t>
        </is>
      </c>
      <c r="M1" s="177" t="inlineStr">
        <is>
          <t>W12</t>
        </is>
      </c>
      <c r="N1" s="177" t="inlineStr">
        <is>
          <t>W13</t>
        </is>
      </c>
      <c r="O1" s="177" t="inlineStr">
        <is>
          <t>總計</t>
        </is>
      </c>
    </row>
    <row r="2" ht="23" customHeight="1" s="106">
      <c r="A2" s="179" t="inlineStr">
        <is>
          <t>CPU</t>
        </is>
      </c>
      <c r="B2" s="170" t="n"/>
      <c r="C2" s="170" t="n"/>
      <c r="D2" s="170" t="n"/>
      <c r="E2" s="170" t="n"/>
      <c r="F2" s="170" t="n"/>
      <c r="G2" s="170" t="n"/>
      <c r="H2" s="170" t="n"/>
      <c r="I2" s="170" t="n"/>
      <c r="J2" s="170" t="n"/>
      <c r="K2" s="170" t="n"/>
      <c r="L2" s="170" t="n"/>
      <c r="M2" s="170" t="n"/>
      <c r="N2" s="170" t="n"/>
      <c r="O2" s="170" t="n"/>
    </row>
    <row r="3" ht="23" customHeight="1" s="106">
      <c r="A3" s="179" t="inlineStr">
        <is>
          <t>iPad</t>
        </is>
      </c>
      <c r="B3" s="170" t="n"/>
      <c r="C3" s="170" t="n"/>
      <c r="D3" s="170" t="n"/>
      <c r="E3" s="170" t="n"/>
      <c r="F3" s="170" t="n"/>
      <c r="G3" s="170" t="n"/>
      <c r="H3" s="170" t="n"/>
      <c r="I3" s="170" t="n"/>
      <c r="J3" s="170" t="n"/>
      <c r="K3" s="170" t="n"/>
      <c r="L3" s="170" t="n"/>
      <c r="M3" s="170" t="n"/>
      <c r="N3" s="170" t="n"/>
      <c r="O3" s="170" t="n"/>
    </row>
    <row r="4" ht="23" customHeight="1" s="106">
      <c r="A4" s="179" t="inlineStr">
        <is>
          <t>Watch</t>
        </is>
      </c>
      <c r="B4" s="170" t="n"/>
      <c r="C4" s="170" t="n"/>
      <c r="D4" s="170" t="n"/>
      <c r="E4" s="170" t="n"/>
      <c r="F4" s="170" t="n"/>
      <c r="G4" s="170" t="n"/>
      <c r="H4" s="170" t="n"/>
      <c r="I4" s="170" t="n"/>
      <c r="J4" s="170" t="n"/>
      <c r="K4" s="170" t="n"/>
      <c r="L4" s="170" t="n"/>
      <c r="M4" s="170" t="n"/>
      <c r="N4" s="170" t="n"/>
      <c r="O4" s="170" t="n"/>
    </row>
    <row r="5" ht="23" customHeight="1" s="106">
      <c r="A5" s="179" t="inlineStr">
        <is>
          <t>Pencil</t>
        </is>
      </c>
      <c r="B5" s="170" t="n"/>
      <c r="C5" s="170" t="n"/>
      <c r="D5" s="170" t="n"/>
      <c r="E5" s="170" t="n"/>
      <c r="F5" s="170" t="n"/>
      <c r="G5" s="170" t="n"/>
      <c r="H5" s="170" t="n"/>
      <c r="I5" s="170" t="n"/>
      <c r="J5" s="170" t="n"/>
      <c r="K5" s="170" t="n"/>
      <c r="L5" s="170" t="n"/>
      <c r="M5" s="170" t="n"/>
      <c r="N5" s="170" t="n"/>
      <c r="O5" s="170" t="n"/>
    </row>
    <row r="6" ht="23" customHeight="1" s="106">
      <c r="A6" s="179" t="inlineStr">
        <is>
          <t>Keyboard</t>
        </is>
      </c>
      <c r="B6" s="170" t="n"/>
      <c r="C6" s="170" t="n"/>
      <c r="D6" s="170" t="n"/>
      <c r="E6" s="170" t="n"/>
      <c r="F6" s="170" t="n"/>
      <c r="G6" s="170" t="n"/>
      <c r="H6" s="170" t="n"/>
      <c r="I6" s="170" t="n"/>
      <c r="J6" s="170" t="n"/>
      <c r="K6" s="170" t="n"/>
      <c r="L6" s="170" t="n"/>
      <c r="M6" s="170" t="n"/>
      <c r="N6" s="170" t="n"/>
      <c r="O6" s="170" t="n"/>
    </row>
    <row r="7" ht="23" customHeight="1" s="106">
      <c r="A7" s="177" t="inlineStr">
        <is>
          <t>教育價台數</t>
        </is>
      </c>
      <c r="B7" s="177" t="inlineStr">
        <is>
          <t>W1</t>
        </is>
      </c>
      <c r="C7" s="177" t="inlineStr">
        <is>
          <t>W2</t>
        </is>
      </c>
      <c r="D7" s="177" t="inlineStr">
        <is>
          <t>W3</t>
        </is>
      </c>
      <c r="E7" s="177" t="inlineStr">
        <is>
          <t>W4</t>
        </is>
      </c>
      <c r="F7" s="177" t="inlineStr">
        <is>
          <t>W5</t>
        </is>
      </c>
      <c r="G7" s="177" t="inlineStr">
        <is>
          <t>W6</t>
        </is>
      </c>
      <c r="H7" s="177" t="inlineStr">
        <is>
          <t>W7</t>
        </is>
      </c>
      <c r="I7" s="177" t="inlineStr">
        <is>
          <t>W8</t>
        </is>
      </c>
      <c r="J7" s="177" t="inlineStr">
        <is>
          <t>W9</t>
        </is>
      </c>
      <c r="K7" s="177" t="inlineStr">
        <is>
          <t>W10</t>
        </is>
      </c>
      <c r="L7" s="177" t="inlineStr">
        <is>
          <t>W11</t>
        </is>
      </c>
      <c r="M7" s="177" t="inlineStr">
        <is>
          <t>W12</t>
        </is>
      </c>
      <c r="N7" s="177" t="inlineStr">
        <is>
          <t>W13</t>
        </is>
      </c>
      <c r="O7" s="177" t="inlineStr">
        <is>
          <t>總計</t>
        </is>
      </c>
    </row>
    <row r="8" ht="23" customHeight="1" s="106">
      <c r="A8" s="179" t="inlineStr">
        <is>
          <t>CPU</t>
        </is>
      </c>
      <c r="B8" s="170" t="n"/>
      <c r="C8" s="170" t="n"/>
      <c r="D8" s="170" t="n"/>
      <c r="E8" s="170" t="n"/>
      <c r="F8" s="170" t="n"/>
      <c r="G8" s="170" t="n"/>
      <c r="H8" s="170" t="n"/>
      <c r="I8" s="170" t="n"/>
      <c r="J8" s="170" t="n"/>
      <c r="K8" s="170" t="n"/>
      <c r="L8" s="170" t="n"/>
      <c r="M8" s="170" t="n"/>
      <c r="N8" s="170" t="n"/>
      <c r="O8" s="170" t="n"/>
    </row>
    <row r="9" ht="23" customHeight="1" s="106">
      <c r="A9" s="179" t="inlineStr">
        <is>
          <t>iPad</t>
        </is>
      </c>
      <c r="B9" s="170" t="n"/>
      <c r="C9" s="170" t="n"/>
      <c r="D9" s="170" t="n"/>
      <c r="E9" s="170" t="n"/>
      <c r="F9" s="170" t="n"/>
      <c r="G9" s="170" t="n"/>
      <c r="H9" s="170" t="n"/>
      <c r="I9" s="170" t="n"/>
      <c r="J9" s="170" t="n"/>
      <c r="K9" s="170" t="n"/>
      <c r="L9" s="170" t="n"/>
      <c r="M9" s="170" t="n"/>
      <c r="N9" s="170" t="n"/>
      <c r="O9" s="170" t="n"/>
    </row>
    <row r="10" ht="23" customHeight="1" s="106">
      <c r="A10" s="179" t="inlineStr">
        <is>
          <t>Watch</t>
        </is>
      </c>
      <c r="B10" s="170" t="n"/>
      <c r="C10" s="170" t="n"/>
      <c r="D10" s="170" t="n"/>
      <c r="E10" s="170" t="n"/>
      <c r="F10" s="170" t="n"/>
      <c r="G10" s="170" t="n"/>
      <c r="H10" s="170" t="n"/>
      <c r="I10" s="170" t="n"/>
      <c r="J10" s="170" t="n"/>
      <c r="K10" s="170" t="n"/>
      <c r="L10" s="170" t="n"/>
      <c r="M10" s="170" t="n"/>
      <c r="N10" s="170" t="n"/>
      <c r="O10" s="170" t="n"/>
    </row>
    <row r="11" ht="23" customHeight="1" s="106">
      <c r="A11" s="179" t="inlineStr">
        <is>
          <t>Pencil</t>
        </is>
      </c>
      <c r="B11" s="170" t="n"/>
      <c r="C11" s="170" t="n"/>
      <c r="D11" s="170" t="n"/>
      <c r="E11" s="170" t="n"/>
      <c r="F11" s="170" t="n"/>
      <c r="G11" s="170" t="n"/>
      <c r="H11" s="170" t="n"/>
      <c r="I11" s="170" t="n"/>
      <c r="J11" s="170" t="n"/>
      <c r="K11" s="170" t="n"/>
      <c r="L11" s="170" t="n"/>
      <c r="M11" s="170" t="n"/>
      <c r="N11" s="170" t="n"/>
      <c r="O11" s="170" t="n"/>
    </row>
    <row r="12" ht="23" customHeight="1" s="106">
      <c r="A12" s="179" t="inlineStr">
        <is>
          <t>Keyboard</t>
        </is>
      </c>
      <c r="B12" s="170" t="n"/>
      <c r="C12" s="170" t="n"/>
      <c r="D12" s="170" t="n"/>
      <c r="E12" s="170" t="n"/>
      <c r="F12" s="170" t="n"/>
      <c r="G12" s="170" t="n"/>
      <c r="H12" s="170" t="n"/>
      <c r="I12" s="170" t="n"/>
      <c r="J12" s="170" t="n"/>
      <c r="K12" s="170" t="n"/>
      <c r="L12" s="170" t="n"/>
      <c r="M12" s="170" t="n"/>
      <c r="N12" s="170" t="n"/>
      <c r="O12" s="170" t="n"/>
    </row>
    <row r="13" ht="23" customHeight="1" s="106">
      <c r="A13" s="177" t="inlineStr">
        <is>
          <t>教育價佔比</t>
        </is>
      </c>
      <c r="B13" s="177" t="inlineStr">
        <is>
          <t>W1</t>
        </is>
      </c>
      <c r="C13" s="177" t="inlineStr">
        <is>
          <t>W2</t>
        </is>
      </c>
      <c r="D13" s="177" t="inlineStr">
        <is>
          <t>W3</t>
        </is>
      </c>
      <c r="E13" s="177" t="inlineStr">
        <is>
          <t>W4</t>
        </is>
      </c>
      <c r="F13" s="177" t="inlineStr">
        <is>
          <t>W5</t>
        </is>
      </c>
      <c r="G13" s="177" t="inlineStr">
        <is>
          <t>W6</t>
        </is>
      </c>
      <c r="H13" s="177" t="inlineStr">
        <is>
          <t>W7</t>
        </is>
      </c>
      <c r="I13" s="177" t="inlineStr">
        <is>
          <t>W8</t>
        </is>
      </c>
      <c r="J13" s="177" t="inlineStr">
        <is>
          <t>W9</t>
        </is>
      </c>
      <c r="K13" s="177" t="inlineStr">
        <is>
          <t>W10</t>
        </is>
      </c>
      <c r="L13" s="177" t="inlineStr">
        <is>
          <t>W11</t>
        </is>
      </c>
      <c r="M13" s="177" t="inlineStr">
        <is>
          <t>W12</t>
        </is>
      </c>
      <c r="N13" s="177" t="inlineStr">
        <is>
          <t>W13</t>
        </is>
      </c>
      <c r="O13" s="177" t="inlineStr">
        <is>
          <t>總計</t>
        </is>
      </c>
    </row>
    <row r="14" ht="23" customHeight="1" s="106">
      <c r="A14" s="179" t="inlineStr">
        <is>
          <t>CPU</t>
        </is>
      </c>
      <c r="B14" s="175" t="n"/>
      <c r="C14" s="175" t="n"/>
      <c r="D14" s="175" t="n"/>
      <c r="E14" s="175" t="n"/>
      <c r="F14" s="175" t="n"/>
      <c r="G14" s="175" t="n"/>
      <c r="H14" s="175" t="n"/>
      <c r="I14" s="175" t="n"/>
      <c r="J14" s="175" t="n"/>
      <c r="K14" s="175" t="n"/>
      <c r="L14" s="175" t="n"/>
      <c r="M14" s="175" t="n"/>
      <c r="N14" s="175" t="n"/>
      <c r="O14" s="175" t="n"/>
    </row>
    <row r="15" ht="23" customHeight="1" s="106">
      <c r="A15" s="179" t="inlineStr">
        <is>
          <t>iPad</t>
        </is>
      </c>
      <c r="B15" s="175" t="n"/>
      <c r="C15" s="175" t="n"/>
      <c r="D15" s="175" t="n"/>
      <c r="E15" s="175" t="n"/>
      <c r="F15" s="175" t="n"/>
      <c r="G15" s="175" t="n"/>
      <c r="H15" s="175" t="n"/>
      <c r="I15" s="175" t="n"/>
      <c r="J15" s="175" t="n"/>
      <c r="K15" s="175" t="n"/>
      <c r="L15" s="175" t="n"/>
      <c r="M15" s="175" t="n"/>
      <c r="N15" s="175" t="n"/>
      <c r="O15" s="175" t="n"/>
    </row>
    <row r="16" ht="23" customHeight="1" s="106">
      <c r="A16" s="179" t="inlineStr">
        <is>
          <t>Watch</t>
        </is>
      </c>
      <c r="B16" s="175" t="n"/>
      <c r="C16" s="175" t="n"/>
      <c r="D16" s="175" t="n"/>
      <c r="E16" s="175" t="n"/>
      <c r="F16" s="175" t="n"/>
      <c r="G16" s="175" t="n"/>
      <c r="H16" s="175" t="n"/>
      <c r="I16" s="175" t="n"/>
      <c r="J16" s="175" t="n"/>
      <c r="K16" s="175" t="n"/>
      <c r="L16" s="175" t="n"/>
      <c r="M16" s="175" t="n"/>
      <c r="N16" s="175" t="n"/>
      <c r="O16" s="175" t="n"/>
    </row>
    <row r="17" ht="23" customHeight="1" s="106">
      <c r="A17" s="179" t="inlineStr">
        <is>
          <t>Pencil</t>
        </is>
      </c>
      <c r="B17" s="175" t="n"/>
      <c r="C17" s="175" t="n"/>
      <c r="D17" s="175" t="n"/>
      <c r="E17" s="175" t="n"/>
      <c r="F17" s="175" t="n"/>
      <c r="G17" s="175" t="n"/>
      <c r="H17" s="175" t="n"/>
      <c r="I17" s="175" t="n"/>
      <c r="J17" s="175" t="n"/>
      <c r="K17" s="175" t="n"/>
      <c r="L17" s="175" t="n"/>
      <c r="M17" s="175" t="n"/>
      <c r="N17" s="175" t="n"/>
      <c r="O17" s="175" t="n"/>
    </row>
    <row r="18" ht="23" customHeight="1" s="106">
      <c r="A18" s="179" t="inlineStr">
        <is>
          <t>Keyboard</t>
        </is>
      </c>
      <c r="B18" s="175" t="n"/>
      <c r="C18" s="175" t="n"/>
      <c r="D18" s="175" t="n"/>
      <c r="E18" s="175" t="n"/>
      <c r="F18" s="175" t="n"/>
      <c r="G18" s="175" t="n"/>
      <c r="H18" s="175" t="n"/>
      <c r="I18" s="175" t="n"/>
      <c r="J18" s="175" t="n"/>
      <c r="K18" s="175" t="n"/>
      <c r="L18" s="175" t="n"/>
      <c r="M18" s="175" t="n"/>
      <c r="N18" s="175" t="n"/>
      <c r="O18" s="17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2" customWidth="1" style="106" min="3" max="3"/>
  </cols>
  <sheetData>
    <row r="1" ht="26" customHeight="1" s="106">
      <c r="A1" s="156" t="inlineStr">
        <is>
          <t>員工編號</t>
        </is>
      </c>
      <c r="B1" s="157" t="inlineStr">
        <is>
          <t>姓名</t>
        </is>
      </c>
      <c r="C1" s="157" t="inlineStr">
        <is>
          <t>週銷售數</t>
        </is>
      </c>
      <c r="D1" s="157" t="inlineStr">
        <is>
          <t>月銷售數</t>
        </is>
      </c>
    </row>
    <row r="2" ht="26" customHeight="1" s="106">
      <c r="A2" s="158" t="n"/>
      <c r="B2" s="158" t="n"/>
      <c r="C2" s="180" t="n"/>
      <c r="D2" s="180" t="n"/>
    </row>
    <row r="3" ht="26" customHeight="1" s="106">
      <c r="A3" s="158" t="n"/>
      <c r="B3" s="158" t="n"/>
      <c r="C3" s="159" t="n"/>
      <c r="D3" s="159" t="n"/>
    </row>
    <row r="4" ht="26" customHeight="1" s="106">
      <c r="A4" s="158" t="n"/>
      <c r="B4" s="158" t="n"/>
      <c r="C4" s="159" t="n"/>
      <c r="D4" s="159" t="n"/>
    </row>
    <row r="5" ht="26" customHeight="1" s="106">
      <c r="A5" s="158" t="n"/>
      <c r="B5" s="158" t="n"/>
      <c r="C5" s="160" t="n"/>
      <c r="D5" s="160" t="n"/>
    </row>
    <row r="6" ht="26" customHeight="1" s="106">
      <c r="A6" s="158" t="n"/>
      <c r="B6" s="158" t="n"/>
      <c r="C6" s="160" t="n"/>
      <c r="D6" s="160" t="n"/>
    </row>
    <row r="7" ht="26" customHeight="1" s="106">
      <c r="A7" s="158" t="n"/>
      <c r="B7" s="158" t="n"/>
      <c r="C7" s="160" t="n"/>
      <c r="D7" s="160" t="n"/>
    </row>
    <row r="8" ht="26" customHeight="1" s="106">
      <c r="A8" s="158" t="inlineStr">
        <is>
          <t>Total</t>
        </is>
      </c>
      <c r="C8" s="160" t="n"/>
      <c r="D8" s="160" t="n"/>
    </row>
  </sheetData>
  <mergeCells count="1">
    <mergeCell ref="A8:B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2.83203125" customWidth="1" style="106" min="1" max="1"/>
  </cols>
  <sheetData>
    <row r="1" ht="22" customHeight="1" s="106">
      <c r="A1" s="161" t="inlineStr">
        <is>
          <t>員工編號</t>
        </is>
      </c>
      <c r="B1" s="162" t="inlineStr">
        <is>
          <t>姓名</t>
        </is>
      </c>
      <c r="C1" s="162" t="inlineStr">
        <is>
          <t>本週銷售數</t>
        </is>
      </c>
      <c r="D1" s="162" t="inlineStr">
        <is>
          <t>週銷售金額</t>
        </is>
      </c>
      <c r="E1" s="162" t="inlineStr">
        <is>
          <t>月銷售數</t>
        </is>
      </c>
      <c r="F1" s="162" t="inlineStr">
        <is>
          <t>月銷售金額</t>
        </is>
      </c>
    </row>
    <row r="2" ht="22" customHeight="1" s="106">
      <c r="A2" s="163" t="n"/>
      <c r="B2" s="163" t="n"/>
      <c r="C2" s="180" t="n"/>
      <c r="D2" s="180" t="n"/>
      <c r="E2" s="180" t="n"/>
      <c r="F2" s="180" t="n"/>
    </row>
    <row r="3" ht="22" customHeight="1" s="106">
      <c r="A3" s="163" t="n"/>
      <c r="B3" s="163" t="n"/>
      <c r="C3" s="159" t="n"/>
      <c r="D3" s="159" t="n"/>
      <c r="E3" s="164" t="n"/>
      <c r="F3" s="164" t="n"/>
    </row>
    <row r="4" ht="22" customHeight="1" s="106">
      <c r="A4" s="163" t="n"/>
      <c r="B4" s="163" t="n"/>
      <c r="C4" s="159" t="n"/>
      <c r="D4" s="159" t="n"/>
      <c r="E4" s="164" t="n"/>
      <c r="F4" s="164" t="n"/>
    </row>
    <row r="5" ht="22" customHeight="1" s="106">
      <c r="A5" s="163" t="n"/>
      <c r="B5" s="163" t="n"/>
      <c r="C5" s="164" t="n"/>
      <c r="D5" s="164" t="n"/>
      <c r="E5" s="164" t="n"/>
      <c r="F5" s="164" t="n"/>
    </row>
    <row r="6" ht="22" customHeight="1" s="106">
      <c r="A6" s="163" t="n"/>
      <c r="B6" s="163" t="n"/>
      <c r="C6" s="164" t="n"/>
      <c r="D6" s="164" t="n"/>
      <c r="E6" s="164" t="n"/>
      <c r="F6" s="164" t="n"/>
    </row>
    <row r="7" ht="22" customHeight="1" s="106">
      <c r="A7" s="163" t="n"/>
      <c r="B7" s="163" t="n"/>
      <c r="C7" s="164" t="n"/>
      <c r="D7" s="164" t="n"/>
      <c r="E7" s="164" t="n"/>
      <c r="F7" s="164" t="n"/>
    </row>
    <row r="8" ht="22" customHeight="1" s="106">
      <c r="A8" s="158" t="inlineStr">
        <is>
          <t>Total</t>
        </is>
      </c>
      <c r="C8" s="160" t="n"/>
      <c r="D8" s="160" t="n"/>
      <c r="E8" s="160" t="n"/>
      <c r="F8" s="160" t="n"/>
    </row>
    <row r="9" ht="22" customHeight="1" s="106">
      <c r="A9" s="159" t="n"/>
      <c r="B9" s="159" t="n"/>
      <c r="C9" s="159" t="n"/>
      <c r="D9" s="159" t="n"/>
      <c r="E9" s="159" t="n"/>
      <c r="F9" s="159" t="n"/>
    </row>
    <row r="10" ht="22" customHeight="1" s="106">
      <c r="A10" s="165" t="inlineStr">
        <is>
          <t>年累積金額</t>
        </is>
      </c>
      <c r="B10" s="166" t="inlineStr">
        <is>
          <t>xxxxxx</t>
        </is>
      </c>
      <c r="C10" s="159" t="n"/>
      <c r="D10" s="159" t="n"/>
      <c r="E10" s="159" t="n"/>
      <c r="F10" s="159" t="n"/>
    </row>
  </sheetData>
  <mergeCells count="1">
    <mergeCell ref="A8:B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15.33203125" customWidth="1" style="106" min="1" max="1"/>
  </cols>
  <sheetData>
    <row r="1" ht="21" customHeight="1" s="106">
      <c r="A1" s="170" t="n"/>
      <c r="B1" s="181" t="inlineStr">
        <is>
          <t>SUN</t>
        </is>
      </c>
      <c r="C1" s="181" t="inlineStr">
        <is>
          <t>MON</t>
        </is>
      </c>
      <c r="D1" s="181" t="inlineStr">
        <is>
          <t>TUE</t>
        </is>
      </c>
      <c r="E1" s="181" t="inlineStr">
        <is>
          <t>WED</t>
        </is>
      </c>
      <c r="F1" s="181" t="inlineStr">
        <is>
          <t>THU</t>
        </is>
      </c>
      <c r="G1" s="181" t="inlineStr">
        <is>
          <t>FRI</t>
        </is>
      </c>
      <c r="H1" s="181" t="inlineStr">
        <is>
          <t>SAT</t>
        </is>
      </c>
      <c r="I1" s="181" t="inlineStr">
        <is>
          <t>TOTAL</t>
        </is>
      </c>
      <c r="J1" s="170" t="n"/>
      <c r="K1" s="170" t="n"/>
      <c r="L1" s="170" t="n"/>
      <c r="M1" s="170" t="n"/>
      <c r="N1" s="170" t="n"/>
    </row>
    <row r="2" ht="20" customHeight="1" s="106">
      <c r="A2" s="182" t="inlineStr">
        <is>
          <t>上週</t>
        </is>
      </c>
      <c r="B2" s="170" t="n"/>
      <c r="C2" s="170" t="n"/>
      <c r="D2" s="170" t="n"/>
      <c r="E2" s="170" t="n"/>
      <c r="F2" s="170" t="n"/>
      <c r="G2" s="170" t="n"/>
      <c r="H2" s="170" t="n"/>
      <c r="I2" s="170" t="n"/>
      <c r="J2" s="170" t="n"/>
      <c r="K2" s="170" t="n"/>
      <c r="L2" s="170" t="n"/>
      <c r="M2" s="170" t="n"/>
      <c r="N2" s="170" t="n"/>
    </row>
    <row r="3" ht="20" customHeight="1" s="106">
      <c r="A3" s="182" t="inlineStr">
        <is>
          <t>本週</t>
        </is>
      </c>
      <c r="B3" s="170" t="n"/>
      <c r="C3" s="170" t="n"/>
      <c r="D3" s="170" t="n"/>
      <c r="E3" s="170" t="n"/>
      <c r="F3" s="170" t="n"/>
      <c r="G3" s="170" t="n"/>
      <c r="H3" s="170" t="n"/>
      <c r="I3" s="170" t="n"/>
      <c r="J3" s="170" t="n"/>
      <c r="K3" s="170" t="n"/>
      <c r="L3" s="170" t="n"/>
      <c r="M3" s="170" t="n"/>
      <c r="N3" s="170" t="n"/>
    </row>
    <row r="4" ht="20" customHeight="1" s="106">
      <c r="A4" s="182" t="inlineStr">
        <is>
          <t>WoW 差異人數</t>
        </is>
      </c>
      <c r="B4" s="170" t="n"/>
      <c r="C4" s="170" t="n"/>
      <c r="D4" s="170" t="n"/>
      <c r="E4" s="170" t="n"/>
      <c r="F4" s="170" t="n"/>
      <c r="G4" s="170" t="n"/>
      <c r="H4" s="170" t="n"/>
      <c r="I4" s="170" t="n"/>
      <c r="J4" s="170" t="n"/>
      <c r="K4" s="170" t="n"/>
      <c r="L4" s="170" t="n"/>
      <c r="M4" s="170" t="n"/>
      <c r="N4" s="170" t="n"/>
    </row>
    <row r="5" ht="20" customHeight="1" s="106">
      <c r="A5" s="182" t="inlineStr">
        <is>
          <t>WoW 差異比例</t>
        </is>
      </c>
      <c r="B5" s="174" t="n"/>
      <c r="C5" s="174" t="n"/>
      <c r="D5" s="174" t="n"/>
      <c r="E5" s="174" t="n"/>
      <c r="F5" s="174" t="n"/>
      <c r="G5" s="174" t="n"/>
      <c r="H5" s="174" t="n"/>
      <c r="I5" s="175" t="n"/>
      <c r="J5" s="170" t="n"/>
      <c r="K5" s="170" t="n"/>
      <c r="L5" s="170" t="n"/>
      <c r="M5" s="170" t="n"/>
      <c r="N5" s="170" t="n"/>
    </row>
    <row r="6" ht="20" customHeight="1" s="106">
      <c r="A6" s="170" t="n"/>
      <c r="B6" s="170" t="n"/>
      <c r="C6" s="170" t="n"/>
      <c r="D6" s="170" t="n"/>
      <c r="E6" s="170" t="n"/>
      <c r="F6" s="170" t="n"/>
      <c r="G6" s="170" t="n"/>
      <c r="H6" s="170" t="n"/>
      <c r="I6" s="170" t="n"/>
      <c r="J6" s="170" t="n"/>
      <c r="K6" s="170" t="n"/>
      <c r="L6" s="170" t="n"/>
      <c r="M6" s="170" t="n"/>
      <c r="N6" s="170" t="n"/>
    </row>
    <row r="7" ht="21" customHeight="1" s="106">
      <c r="A7" s="181" t="n"/>
      <c r="B7" s="181" t="inlineStr">
        <is>
          <t>1月</t>
        </is>
      </c>
      <c r="C7" s="181" t="inlineStr">
        <is>
          <t>2月</t>
        </is>
      </c>
      <c r="D7" s="181" t="inlineStr">
        <is>
          <t>3月</t>
        </is>
      </c>
      <c r="E7" s="181" t="inlineStr">
        <is>
          <t>4月</t>
        </is>
      </c>
      <c r="F7" s="181" t="inlineStr">
        <is>
          <t>5月</t>
        </is>
      </c>
      <c r="G7" s="181" t="inlineStr">
        <is>
          <t>6月</t>
        </is>
      </c>
      <c r="H7" s="181" t="inlineStr">
        <is>
          <t>7月</t>
        </is>
      </c>
      <c r="I7" s="181" t="inlineStr">
        <is>
          <t>8月</t>
        </is>
      </c>
      <c r="J7" s="181" t="inlineStr">
        <is>
          <t>9月</t>
        </is>
      </c>
      <c r="K7" s="181" t="inlineStr">
        <is>
          <t>10月</t>
        </is>
      </c>
      <c r="L7" s="181" t="inlineStr">
        <is>
          <t>11月</t>
        </is>
      </c>
      <c r="M7" s="181" t="inlineStr">
        <is>
          <t>12月</t>
        </is>
      </c>
      <c r="N7" s="181" t="inlineStr">
        <is>
          <t>總計</t>
        </is>
      </c>
    </row>
    <row r="8" ht="20" customHeight="1" s="106">
      <c r="A8" s="183" t="inlineStr">
        <is>
          <t>人流</t>
        </is>
      </c>
      <c r="B8" s="173" t="n"/>
      <c r="C8" s="173" t="n"/>
      <c r="D8" s="173" t="n"/>
      <c r="E8" s="173" t="n"/>
      <c r="F8" s="173" t="n"/>
      <c r="G8" s="173" t="n"/>
      <c r="H8" s="173" t="n"/>
      <c r="I8" s="173" t="n"/>
      <c r="J8" s="173" t="n"/>
      <c r="K8" s="173" t="n"/>
      <c r="L8" s="173" t="n"/>
      <c r="M8" s="173" t="n"/>
      <c r="N8" s="173" t="n"/>
    </row>
    <row r="9" ht="20" customHeight="1" s="106">
      <c r="A9" s="170" t="n"/>
      <c r="B9" s="170" t="n"/>
      <c r="C9" s="170" t="n"/>
      <c r="D9" s="170" t="n"/>
      <c r="E9" s="170" t="n"/>
      <c r="F9" s="170" t="n"/>
      <c r="G9" s="170" t="n"/>
      <c r="H9" s="170" t="n"/>
      <c r="I9" s="170" t="n"/>
      <c r="J9" s="170" t="n"/>
      <c r="K9" s="170" t="n"/>
      <c r="L9" s="170" t="n"/>
      <c r="M9" s="170" t="n"/>
      <c r="N9" s="170" t="n"/>
    </row>
    <row r="10" ht="20" customHeight="1" s="106">
      <c r="A10" s="170" t="n"/>
      <c r="B10" s="170" t="n"/>
      <c r="C10" s="170" t="n"/>
      <c r="D10" s="170" t="n"/>
      <c r="E10" s="170" t="n"/>
      <c r="F10" s="170" t="n"/>
      <c r="G10" s="170" t="n"/>
      <c r="H10" s="170" t="n"/>
      <c r="I10" s="170" t="n"/>
      <c r="J10" s="170" t="n"/>
      <c r="K10" s="170" t="n"/>
      <c r="L10" s="170" t="n"/>
      <c r="M10" s="170" t="n"/>
      <c r="N10" s="170" t="n"/>
    </row>
    <row r="11" ht="42" customHeight="1" s="106">
      <c r="A11" s="181" t="n"/>
      <c r="B11" s="181" t="n"/>
      <c r="C11" s="184" t="inlineStr">
        <is>
          <t>差異</t>
        </is>
      </c>
      <c r="D11" s="181" t="n"/>
      <c r="E11" s="181" t="n"/>
      <c r="F11" s="184" t="inlineStr">
        <is>
          <t>差異</t>
        </is>
      </c>
      <c r="G11" s="181" t="n"/>
      <c r="H11" s="181" t="n"/>
      <c r="I11" s="184" t="inlineStr">
        <is>
          <t>差異</t>
        </is>
      </c>
      <c r="J11" s="170" t="n"/>
      <c r="K11" s="170" t="n"/>
      <c r="L11" s="170" t="n"/>
      <c r="M11" s="170" t="n"/>
      <c r="N11" s="170" t="n"/>
    </row>
    <row r="12" ht="20" customHeight="1" s="106">
      <c r="A12" s="173" t="n"/>
      <c r="B12" s="173" t="n"/>
      <c r="C12" s="178" t="n"/>
      <c r="D12" s="173" t="n"/>
      <c r="E12" s="173" t="n"/>
      <c r="F12" s="178" t="n"/>
      <c r="G12" s="173" t="n"/>
      <c r="H12" s="173" t="n"/>
      <c r="I12" s="178" t="n"/>
      <c r="J12" s="170" t="n"/>
      <c r="K12" s="170" t="n"/>
      <c r="L12" s="170" t="n"/>
      <c r="M12" s="170" t="n"/>
      <c r="N12" s="170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7"/>
  <sheetViews>
    <sheetView topLeftCell="A2" zoomScale="49" zoomScaleNormal="75" workbookViewId="0">
      <selection activeCell="U11" sqref="U11"/>
    </sheetView>
  </sheetViews>
  <sheetFormatPr baseColWidth="10" defaultRowHeight="15"/>
  <cols>
    <col width="29.1640625" customWidth="1" style="106" min="1" max="1"/>
    <col width="17.33203125" customWidth="1" style="106" min="2" max="6"/>
    <col width="21" customWidth="1" style="106" min="7" max="7"/>
    <col width="17.33203125" customWidth="1" style="106" min="8" max="9"/>
    <col width="18.83203125" customWidth="1" style="106" min="10" max="10"/>
    <col width="17.33203125" customWidth="1" style="106" min="11" max="12"/>
    <col width="20.5" customWidth="1" style="106" min="13" max="13"/>
    <col width="17.33203125" customWidth="1" style="106" min="14" max="14"/>
    <col width="10.83203125" customWidth="1" style="106" min="15" max="15"/>
  </cols>
  <sheetData>
    <row r="1" ht="50" customHeight="1" s="106">
      <c r="A1" s="20" t="n"/>
      <c r="B1" s="21" t="inlineStr">
        <is>
          <t>上週</t>
        </is>
      </c>
      <c r="C1" s="21" t="inlineStr">
        <is>
          <t>本週</t>
        </is>
      </c>
      <c r="D1" s="22" t="inlineStr">
        <is>
          <t>週差異</t>
        </is>
      </c>
      <c r="E1" s="23" t="inlineStr">
        <is>
          <t>週差異％</t>
        </is>
      </c>
      <c r="F1" s="24" t="inlineStr">
        <is>
          <t>本月達成</t>
        </is>
      </c>
      <c r="G1" s="25" t="inlineStr">
        <is>
          <t>本月目標</t>
        </is>
      </c>
      <c r="H1" s="22" t="inlineStr">
        <is>
          <t>達成率</t>
        </is>
      </c>
      <c r="I1" s="26" t="inlineStr">
        <is>
          <t>上月同期</t>
        </is>
      </c>
      <c r="J1" s="22" t="inlineStr">
        <is>
          <t>上月同期差異</t>
        </is>
      </c>
      <c r="K1" s="23" t="inlineStr">
        <is>
          <t>上月同期差異%</t>
        </is>
      </c>
      <c r="L1" s="26" t="inlineStr">
        <is>
          <t>去年同期</t>
        </is>
      </c>
      <c r="M1" s="23" t="inlineStr">
        <is>
          <t>去年同期差異</t>
        </is>
      </c>
      <c r="N1" s="23" t="inlineStr">
        <is>
          <t>去年同期差異%</t>
        </is>
      </c>
    </row>
    <row r="2" ht="34" customHeight="1" s="106">
      <c r="A2" s="20" t="inlineStr">
        <is>
          <t>總營業額(a + c + e)</t>
        </is>
      </c>
      <c r="B2" s="29" t="n"/>
      <c r="C2" s="29" t="n"/>
      <c r="D2" s="30" t="n"/>
      <c r="E2" s="31" t="n"/>
      <c r="F2" s="29" t="n"/>
      <c r="G2" s="110" t="n"/>
      <c r="H2" s="31" t="n"/>
      <c r="I2" s="29" t="n"/>
      <c r="J2" s="30" t="n"/>
      <c r="K2" s="31" t="n"/>
      <c r="L2" s="29" t="n"/>
      <c r="M2" s="30" t="n"/>
      <c r="N2" s="31" t="n"/>
    </row>
    <row r="3" ht="34" customHeight="1" s="106">
      <c r="A3" s="20" t="inlineStr">
        <is>
          <t>零售營業額(a)</t>
        </is>
      </c>
      <c r="B3" s="29" t="n"/>
      <c r="C3" s="29" t="n"/>
      <c r="D3" s="30" t="n"/>
      <c r="E3" s="31" t="n"/>
      <c r="F3" s="29" t="n"/>
      <c r="G3" s="110" t="n"/>
      <c r="H3" s="31" t="n"/>
      <c r="I3" s="29" t="n"/>
      <c r="J3" s="30" t="n"/>
      <c r="K3" s="31" t="n"/>
      <c r="L3" s="29" t="n"/>
      <c r="M3" s="30" t="n"/>
      <c r="N3" s="31" t="n"/>
    </row>
    <row r="4" ht="34" customHeight="1" s="106">
      <c r="A4" s="20" t="inlineStr">
        <is>
          <t>訂單出貨金額(b)</t>
        </is>
      </c>
      <c r="B4" s="29" t="n"/>
      <c r="C4" s="29" t="n"/>
      <c r="D4" s="30" t="n"/>
      <c r="E4" s="31" t="n"/>
      <c r="F4" s="29" t="n"/>
      <c r="G4" s="110" t="n"/>
      <c r="H4" s="31" t="n"/>
      <c r="I4" s="29" t="n"/>
      <c r="J4" s="30" t="n"/>
      <c r="K4" s="31" t="n"/>
      <c r="L4" s="29" t="n"/>
      <c r="M4" s="30" t="n"/>
      <c r="N4" s="31" t="n"/>
    </row>
    <row r="5" ht="34" customHeight="1" s="106">
      <c r="A5" s="20" t="inlineStr">
        <is>
          <t>當日零售營業收入(a + b)</t>
        </is>
      </c>
      <c r="B5" s="29" t="n"/>
      <c r="C5" s="29" t="n"/>
      <c r="D5" s="30" t="n"/>
      <c r="E5" s="31" t="n"/>
      <c r="F5" s="29" t="n"/>
      <c r="G5" s="110" t="n"/>
      <c r="H5" s="31" t="n"/>
      <c r="I5" s="29" t="n"/>
      <c r="J5" s="30" t="n"/>
      <c r="K5" s="31" t="n"/>
      <c r="L5" s="29" t="n"/>
      <c r="M5" s="30" t="n"/>
      <c r="N5" s="31" t="n"/>
    </row>
    <row r="6" ht="34" customHeight="1" s="106">
      <c r="A6" s="20" t="inlineStr">
        <is>
          <t>零售訂金營業額(c)</t>
        </is>
      </c>
      <c r="B6" s="29" t="n"/>
      <c r="C6" s="29" t="n"/>
      <c r="D6" s="30" t="n"/>
      <c r="E6" s="31" t="n"/>
      <c r="F6" s="29" t="n"/>
      <c r="G6" s="110" t="n"/>
      <c r="H6" s="31" t="n"/>
      <c r="I6" s="29" t="n"/>
      <c r="J6" s="30" t="n"/>
      <c r="K6" s="31" t="n"/>
      <c r="L6" s="29" t="n"/>
      <c r="M6" s="30" t="n"/>
      <c r="N6" s="31" t="n"/>
    </row>
    <row r="7" ht="34" customHeight="1" s="106">
      <c r="A7" s="20" t="inlineStr">
        <is>
          <t>零售專案營業額(d)</t>
        </is>
      </c>
      <c r="B7" s="29" t="n"/>
      <c r="C7" s="29" t="n"/>
      <c r="D7" s="30" t="n"/>
      <c r="E7" s="32" t="n"/>
      <c r="F7" s="29" t="n"/>
      <c r="G7" s="110" t="n"/>
      <c r="H7" s="31" t="n"/>
      <c r="I7" s="29" t="n"/>
      <c r="J7" s="30" t="n"/>
      <c r="K7" s="32" t="n"/>
      <c r="L7" s="29" t="n"/>
      <c r="M7" s="30" t="n"/>
      <c r="N7" s="32" t="n"/>
    </row>
    <row r="8" ht="34" customHeight="1" s="106">
      <c r="A8" s="20" t="inlineStr">
        <is>
          <t>Apple 主機營業額</t>
        </is>
      </c>
      <c r="B8" s="29" t="n"/>
      <c r="C8" s="29" t="n"/>
      <c r="D8" s="30" t="n"/>
      <c r="E8" s="31" t="n"/>
      <c r="F8" s="29" t="n"/>
      <c r="G8" s="110" t="n"/>
      <c r="H8" s="31" t="n"/>
      <c r="I8" s="29" t="n"/>
      <c r="J8" s="30" t="n"/>
      <c r="K8" s="31" t="n"/>
      <c r="L8" s="29" t="n"/>
      <c r="M8" s="30" t="n"/>
      <c r="N8" s="31" t="n"/>
    </row>
    <row r="9" ht="34" customHeight="1" s="106">
      <c r="A9" s="20" t="inlineStr">
        <is>
          <t>Apple 配件營業額</t>
        </is>
      </c>
      <c r="B9" s="29" t="n"/>
      <c r="C9" s="29" t="n"/>
      <c r="D9" s="30" t="n"/>
      <c r="E9" s="31" t="n"/>
      <c r="F9" s="29" t="n"/>
      <c r="G9" s="110" t="n"/>
      <c r="H9" s="31" t="n"/>
      <c r="I9" s="29" t="n"/>
      <c r="J9" s="30" t="n"/>
      <c r="K9" s="31" t="n"/>
      <c r="L9" s="29" t="n"/>
      <c r="M9" s="30" t="n"/>
      <c r="N9" s="31" t="n"/>
    </row>
    <row r="10" ht="34" customHeight="1" s="106">
      <c r="A10" s="20" t="inlineStr">
        <is>
          <t>3PP配件營業額</t>
        </is>
      </c>
      <c r="B10" s="29" t="n"/>
      <c r="C10" s="29" t="n"/>
      <c r="D10" s="30" t="n"/>
      <c r="E10" s="31" t="n"/>
      <c r="F10" s="29" t="n"/>
      <c r="G10" s="110" t="n"/>
      <c r="H10" s="31" t="n"/>
      <c r="I10" s="29" t="n"/>
      <c r="J10" s="30" t="n"/>
      <c r="K10" s="31" t="n"/>
      <c r="L10" s="29" t="n"/>
      <c r="M10" s="30" t="n"/>
      <c r="N10" s="31" t="n"/>
    </row>
    <row r="11" ht="34" customHeight="1" s="106">
      <c r="A11" s="27" t="inlineStr">
        <is>
          <t>3PP搭售率</t>
        </is>
      </c>
      <c r="B11" s="33" t="n"/>
      <c r="C11" s="33" t="n"/>
      <c r="D11" s="33" t="n"/>
      <c r="E11" s="34" t="n"/>
      <c r="F11" s="33" t="n"/>
      <c r="G11" s="33" t="n"/>
      <c r="H11" s="31" t="n"/>
      <c r="I11" s="33" t="n"/>
      <c r="J11" s="33" t="n"/>
      <c r="K11" s="34" t="n"/>
      <c r="L11" s="33" t="n"/>
      <c r="M11" s="33" t="n"/>
      <c r="N11" s="34" t="n"/>
    </row>
    <row r="12" ht="34" customHeight="1" s="106">
      <c r="A12" s="20" t="inlineStr">
        <is>
          <t>保固營業額（AC+SA）</t>
        </is>
      </c>
      <c r="B12" s="29" t="n"/>
      <c r="C12" s="29" t="n"/>
      <c r="D12" s="30" t="n"/>
      <c r="E12" s="31" t="n"/>
      <c r="F12" s="29" t="n"/>
      <c r="G12" s="110" t="n"/>
      <c r="H12" s="31" t="n"/>
      <c r="I12" s="29" t="n"/>
      <c r="J12" s="30" t="n"/>
      <c r="K12" s="31" t="n"/>
      <c r="L12" s="29" t="n"/>
      <c r="M12" s="30" t="n"/>
      <c r="N12" s="31" t="n"/>
    </row>
    <row r="13" ht="34" customHeight="1" s="106">
      <c r="A13" s="27" t="inlineStr">
        <is>
          <t>保固搭售率（AC+SA）</t>
        </is>
      </c>
      <c r="B13" s="33" t="n"/>
      <c r="C13" s="33" t="n"/>
      <c r="D13" s="33" t="n"/>
      <c r="E13" s="34" t="n"/>
      <c r="F13" s="33" t="n"/>
      <c r="G13" s="33" t="n"/>
      <c r="H13" s="31" t="n"/>
      <c r="I13" s="33" t="n"/>
      <c r="J13" s="33" t="n"/>
      <c r="K13" s="34" t="n"/>
      <c r="L13" s="33" t="n"/>
      <c r="M13" s="33" t="n"/>
      <c r="N13" s="34" t="n"/>
    </row>
    <row r="14" ht="34" customHeight="1" s="106">
      <c r="A14" s="20" t="inlineStr">
        <is>
          <t>總毛利額</t>
        </is>
      </c>
      <c r="B14" s="29" t="n"/>
      <c r="C14" s="29" t="n"/>
      <c r="D14" s="30" t="n"/>
      <c r="E14" s="31" t="n"/>
      <c r="F14" s="29" t="n"/>
      <c r="G14" s="110" t="n"/>
      <c r="H14" s="31" t="n"/>
      <c r="I14" s="29" t="n"/>
      <c r="J14" s="30" t="n"/>
      <c r="K14" s="31" t="n"/>
      <c r="L14" s="29" t="n"/>
      <c r="M14" s="30" t="n"/>
      <c r="N14" s="31" t="n"/>
    </row>
    <row r="15" ht="34" customHeight="1" s="106">
      <c r="A15" s="20" t="inlineStr">
        <is>
          <t>Apple 毛利額</t>
        </is>
      </c>
      <c r="B15" s="29" t="n"/>
      <c r="C15" s="29" t="n"/>
      <c r="D15" s="30" t="n"/>
      <c r="E15" s="31" t="n"/>
      <c r="F15" s="29" t="n"/>
      <c r="G15" s="110" t="n"/>
      <c r="H15" s="31" t="n"/>
      <c r="I15" s="29" t="n"/>
      <c r="J15" s="30" t="n"/>
      <c r="K15" s="31" t="n"/>
      <c r="L15" s="29" t="n"/>
      <c r="M15" s="30" t="n"/>
      <c r="N15" s="31" t="n"/>
    </row>
    <row r="16" ht="34" customHeight="1" s="106">
      <c r="A16" s="20" t="inlineStr">
        <is>
          <t>3PP 毛利額</t>
        </is>
      </c>
      <c r="B16" s="29" t="n"/>
      <c r="C16" s="29" t="n"/>
      <c r="D16" s="30" t="n"/>
      <c r="E16" s="31" t="n"/>
      <c r="F16" s="29" t="n"/>
      <c r="G16" s="110" t="n"/>
      <c r="H16" s="31" t="n"/>
      <c r="I16" s="29" t="n"/>
      <c r="J16" s="30" t="n"/>
      <c r="K16" s="31" t="n"/>
      <c r="L16" s="29" t="n"/>
      <c r="M16" s="30" t="n"/>
      <c r="N16" s="31" t="n"/>
    </row>
    <row r="17" ht="34" customHeight="1" s="106">
      <c r="A17" s="20" t="inlineStr">
        <is>
          <t>保固毛利額（AC+SA）</t>
        </is>
      </c>
      <c r="B17" s="29" t="n"/>
      <c r="C17" s="29" t="n"/>
      <c r="D17" s="30" t="n"/>
      <c r="E17" s="31" t="n"/>
      <c r="F17" s="29" t="n"/>
      <c r="G17" s="110" t="n"/>
      <c r="H17" s="31" t="n"/>
      <c r="I17" s="29" t="n"/>
      <c r="J17" s="30" t="n"/>
      <c r="K17" s="31" t="n"/>
      <c r="L17" s="29" t="n"/>
      <c r="M17" s="30" t="n"/>
      <c r="N17" s="31" t="n"/>
    </row>
    <row r="18" ht="34" customHeight="1" s="106">
      <c r="A18" s="20" t="inlineStr">
        <is>
          <t>CPU 台數</t>
        </is>
      </c>
      <c r="B18" s="29" t="n"/>
      <c r="C18" s="35" t="n"/>
      <c r="D18" s="30" t="n"/>
      <c r="E18" s="31" t="n"/>
      <c r="F18" s="29" t="n"/>
      <c r="G18" s="110" t="n"/>
      <c r="H18" s="31" t="n"/>
      <c r="I18" s="29" t="n"/>
      <c r="J18" s="30" t="n"/>
      <c r="K18" s="31" t="n"/>
      <c r="L18" s="29" t="n"/>
      <c r="M18" s="30" t="n"/>
      <c r="N18" s="31" t="n"/>
    </row>
    <row r="19" ht="34" customHeight="1" s="106">
      <c r="A19" s="20" t="inlineStr">
        <is>
          <t>保固 for CPU 套數（AC+SA）</t>
        </is>
      </c>
      <c r="B19" s="35" t="n"/>
      <c r="C19" s="35" t="n"/>
      <c r="D19" s="32" t="n"/>
      <c r="E19" s="32" t="n"/>
      <c r="F19" s="29" t="n"/>
      <c r="G19" s="110" t="n"/>
      <c r="H19" s="31" t="n"/>
      <c r="I19" s="29" t="n"/>
      <c r="J19" s="30" t="n"/>
      <c r="K19" s="31" t="n"/>
      <c r="L19" s="29" t="n"/>
      <c r="M19" s="30" t="n"/>
      <c r="N19" s="31" t="n"/>
    </row>
    <row r="20" ht="34" customHeight="1" s="106">
      <c r="A20" s="27" t="inlineStr">
        <is>
          <t>保固 for CPU 搭售率（AC+SA）</t>
        </is>
      </c>
      <c r="B20" s="34" t="n"/>
      <c r="C20" s="185" t="n"/>
      <c r="D20" s="185" t="n"/>
      <c r="E20" s="36" t="n"/>
      <c r="F20" s="34" t="n"/>
      <c r="G20" s="34" t="n"/>
      <c r="H20" s="31" t="n"/>
      <c r="I20" s="34" t="n"/>
      <c r="J20" s="34" t="n"/>
      <c r="K20" s="34" t="n"/>
      <c r="L20" s="34" t="n"/>
      <c r="M20" s="34" t="n"/>
      <c r="N20" s="34" t="n"/>
    </row>
    <row r="21" ht="34" customHeight="1" s="106">
      <c r="A21" s="20" t="inlineStr">
        <is>
          <t>iPad 台數</t>
        </is>
      </c>
      <c r="B21" s="29" t="n"/>
      <c r="C21" s="29" t="n"/>
      <c r="D21" s="30" t="n"/>
      <c r="E21" s="31" t="n"/>
      <c r="F21" s="29" t="n"/>
      <c r="G21" s="110" t="n"/>
      <c r="H21" s="31" t="n"/>
      <c r="I21" s="29" t="n"/>
      <c r="J21" s="30" t="n"/>
      <c r="K21" s="31" t="n"/>
      <c r="L21" s="29" t="n"/>
      <c r="M21" s="30" t="n"/>
      <c r="N21" s="31" t="n"/>
    </row>
    <row r="22" ht="34" customHeight="1" s="106">
      <c r="A22" s="20" t="inlineStr">
        <is>
          <t>保固 for iPad 套數（AC+SA）</t>
        </is>
      </c>
      <c r="B22" s="29" t="n"/>
      <c r="C22" s="29" t="n"/>
      <c r="D22" s="30" t="n"/>
      <c r="E22" s="31" t="n"/>
      <c r="F22" s="29" t="n"/>
      <c r="G22" s="110" t="n"/>
      <c r="H22" s="31" t="n"/>
      <c r="I22" s="29" t="n"/>
      <c r="J22" s="30" t="n"/>
      <c r="K22" s="31" t="n"/>
      <c r="L22" s="29" t="n"/>
      <c r="M22" s="30" t="n"/>
      <c r="N22" s="31" t="n"/>
    </row>
    <row r="23" ht="34" customHeight="1" s="106">
      <c r="A23" s="27" t="inlineStr">
        <is>
          <t>保固加總 iPad 搭售率（AC+SA）</t>
        </is>
      </c>
      <c r="B23" s="34" t="n"/>
      <c r="C23" s="34" t="n"/>
      <c r="D23" s="34" t="n"/>
      <c r="E23" s="34" t="n"/>
      <c r="F23" s="34" t="n"/>
      <c r="G23" s="34" t="n"/>
      <c r="H23" s="31" t="n"/>
      <c r="I23" s="34" t="n"/>
      <c r="J23" s="34" t="n"/>
      <c r="K23" s="34" t="n"/>
      <c r="L23" s="34" t="n"/>
      <c r="M23" s="34" t="n"/>
      <c r="N23" s="34" t="n"/>
    </row>
    <row r="24" ht="34" customHeight="1" s="106">
      <c r="A24" s="20" t="inlineStr">
        <is>
          <t>iPhone 台數</t>
        </is>
      </c>
      <c r="B24" s="29" t="n"/>
      <c r="C24" s="29" t="n"/>
      <c r="D24" s="30" t="n"/>
      <c r="E24" s="31" t="n"/>
      <c r="F24" s="29" t="n"/>
      <c r="G24" s="110" t="n"/>
      <c r="H24" s="31" t="n"/>
      <c r="I24" s="29" t="n"/>
      <c r="J24" s="30" t="n"/>
      <c r="K24" s="31" t="n"/>
      <c r="L24" s="29" t="n"/>
      <c r="M24" s="30" t="n"/>
      <c r="N24" s="31" t="n"/>
    </row>
    <row r="25" ht="34" customHeight="1" s="106">
      <c r="A25" s="20" t="inlineStr">
        <is>
          <t>保固 for iPhone 套數（AC+SA）</t>
        </is>
      </c>
      <c r="B25" s="29" t="n"/>
      <c r="C25" s="29" t="n"/>
      <c r="D25" s="30" t="n"/>
      <c r="E25" s="31" t="n"/>
      <c r="F25" s="29" t="n"/>
      <c r="G25" s="110" t="n"/>
      <c r="H25" s="31" t="n"/>
      <c r="I25" s="29" t="n"/>
      <c r="J25" s="30" t="n"/>
      <c r="K25" s="31" t="n"/>
      <c r="L25" s="29" t="n"/>
      <c r="M25" s="30" t="n"/>
      <c r="N25" s="31" t="n"/>
    </row>
    <row r="26" ht="34" customHeight="1" s="106">
      <c r="A26" s="27" t="inlineStr">
        <is>
          <t>保固加總 iPhone 搭售率（AC+SA）</t>
        </is>
      </c>
      <c r="B26" s="34" t="n"/>
      <c r="C26" s="34" t="n"/>
      <c r="D26" s="34" t="n"/>
      <c r="E26" s="34" t="n"/>
      <c r="F26" s="34" t="n"/>
      <c r="G26" s="34" t="n"/>
      <c r="H26" s="31" t="n"/>
      <c r="I26" s="34" t="n"/>
      <c r="J26" s="34" t="n"/>
      <c r="K26" s="34" t="n"/>
      <c r="L26" s="34" t="n"/>
      <c r="M26" s="34" t="n"/>
      <c r="N26" s="34" t="n"/>
    </row>
    <row r="27" ht="34" customHeight="1" s="106">
      <c r="A27" s="20" t="inlineStr">
        <is>
          <t>Watch 台數</t>
        </is>
      </c>
      <c r="B27" s="29" t="n"/>
      <c r="C27" s="29" t="n"/>
      <c r="D27" s="30" t="n"/>
      <c r="E27" s="31" t="n"/>
      <c r="F27" s="29" t="n"/>
      <c r="G27" s="110" t="n"/>
      <c r="H27" s="31" t="n"/>
      <c r="I27" s="29" t="n"/>
      <c r="J27" s="30" t="n"/>
      <c r="K27" s="31" t="n"/>
      <c r="L27" s="29" t="n"/>
      <c r="M27" s="30" t="n"/>
      <c r="N27" s="31" t="n"/>
    </row>
    <row r="28" ht="34" customHeight="1" s="106">
      <c r="A28" s="20" t="inlineStr">
        <is>
          <t>保固 for Watch 套數（AC+SA）</t>
        </is>
      </c>
      <c r="B28" s="35" t="n"/>
      <c r="C28" s="29" t="n"/>
      <c r="D28" s="30" t="n"/>
      <c r="E28" s="32" t="n"/>
      <c r="F28" s="29" t="n"/>
      <c r="G28" s="110" t="n"/>
      <c r="H28" s="31" t="n"/>
      <c r="I28" s="29" t="n"/>
      <c r="J28" s="30" t="n"/>
      <c r="K28" s="31" t="n"/>
      <c r="L28" s="29" t="n"/>
      <c r="M28" s="30" t="n"/>
      <c r="N28" s="31" t="n"/>
    </row>
    <row r="29" ht="34" customHeight="1" s="106">
      <c r="A29" s="27" t="inlineStr">
        <is>
          <t>保固加總 Watch 搭售率（AC+SA）</t>
        </is>
      </c>
      <c r="B29" s="34" t="n"/>
      <c r="C29" s="34" t="n"/>
      <c r="D29" s="34" t="n"/>
      <c r="E29" s="36" t="n"/>
      <c r="F29" s="34" t="n"/>
      <c r="G29" s="34" t="n"/>
      <c r="H29" s="31" t="n"/>
      <c r="I29" s="34" t="n"/>
      <c r="J29" s="34" t="n"/>
      <c r="K29" s="34" t="n"/>
      <c r="L29" s="34" t="n"/>
      <c r="M29" s="34" t="n"/>
      <c r="N29" s="34" t="n"/>
    </row>
    <row r="30" ht="34" customHeight="1" s="106">
      <c r="A30" s="20" t="inlineStr">
        <is>
          <t>AirPods 台數</t>
        </is>
      </c>
      <c r="B30" s="29" t="n"/>
      <c r="C30" s="29" t="n"/>
      <c r="D30" s="30" t="n"/>
      <c r="E30" s="31" t="n"/>
      <c r="F30" s="29" t="n"/>
      <c r="G30" s="110" t="n"/>
      <c r="H30" s="31" t="n"/>
      <c r="I30" s="29" t="n"/>
      <c r="J30" s="30" t="n"/>
      <c r="K30" s="31" t="n"/>
      <c r="L30" s="29" t="n"/>
      <c r="M30" s="30" t="n"/>
      <c r="N30" s="31" t="n"/>
    </row>
    <row r="31" ht="34" customHeight="1" s="106">
      <c r="A31" s="20" t="inlineStr">
        <is>
          <t>保固 for AirPods 套數（AC+SA）</t>
        </is>
      </c>
      <c r="B31" s="35" t="n"/>
      <c r="C31" s="29" t="n"/>
      <c r="D31" s="30" t="n"/>
      <c r="E31" s="32" t="n"/>
      <c r="F31" s="29" t="n"/>
      <c r="G31" s="110" t="n"/>
      <c r="H31" s="31" t="n"/>
      <c r="I31" s="29" t="n"/>
      <c r="J31" s="30" t="n"/>
      <c r="K31" s="31" t="n"/>
      <c r="L31" s="29" t="n"/>
      <c r="M31" s="30" t="n"/>
      <c r="N31" s="31" t="n"/>
    </row>
    <row r="32" ht="34" customHeight="1" s="106">
      <c r="A32" s="27" t="inlineStr">
        <is>
          <t>保固加總 AirPods 搭售率（AC+SA）</t>
        </is>
      </c>
      <c r="B32" s="34" t="n"/>
      <c r="C32" s="34" t="n"/>
      <c r="D32" s="34" t="n"/>
      <c r="E32" s="36" t="n"/>
      <c r="F32" s="34" t="n"/>
      <c r="G32" s="34" t="n"/>
      <c r="H32" s="31" t="n"/>
      <c r="I32" s="34" t="n"/>
      <c r="J32" s="34" t="n"/>
      <c r="K32" s="34" t="n"/>
      <c r="L32" s="34" t="n"/>
      <c r="M32" s="34" t="n"/>
      <c r="N32" s="34" t="n"/>
    </row>
    <row r="33" ht="34" customHeight="1" s="106">
      <c r="A33" s="20" t="inlineStr">
        <is>
          <t>人均產值</t>
        </is>
      </c>
      <c r="B33" s="100" t="n"/>
      <c r="C33" s="100" t="n"/>
      <c r="D33" s="101" t="n"/>
      <c r="E33" s="31" t="n"/>
      <c r="F33" s="100" t="n"/>
      <c r="G33" s="32" t="n"/>
      <c r="H33" s="31" t="n"/>
      <c r="I33" s="100" t="n"/>
      <c r="J33" s="101" t="n"/>
      <c r="K33" s="31" t="n"/>
      <c r="L33" s="100" t="n"/>
      <c r="M33" s="101" t="n"/>
      <c r="N33" s="31" t="n"/>
    </row>
    <row r="34" ht="34" customHeight="1" s="106">
      <c r="A34" s="20" t="inlineStr">
        <is>
          <t>來客數</t>
        </is>
      </c>
      <c r="B34" s="100" t="n"/>
      <c r="C34" s="100" t="n"/>
      <c r="D34" s="101" t="n"/>
      <c r="E34" s="31" t="n"/>
      <c r="F34" s="100" t="n"/>
      <c r="G34" s="30" t="n"/>
      <c r="H34" s="31" t="n"/>
      <c r="I34" s="29" t="n"/>
      <c r="J34" s="101" t="n"/>
      <c r="K34" s="31" t="n"/>
      <c r="L34" s="100" t="n"/>
      <c r="M34" s="101" t="n"/>
      <c r="N34" s="31" t="n"/>
    </row>
    <row r="35" ht="34" customHeight="1" s="106">
      <c r="A35" s="20" t="inlineStr">
        <is>
          <t>成交筆數</t>
        </is>
      </c>
      <c r="B35" s="29" t="n"/>
      <c r="C35" s="29" t="n"/>
      <c r="D35" s="30" t="n"/>
      <c r="E35" s="31" t="n"/>
      <c r="F35" s="29" t="n"/>
      <c r="G35" s="30" t="n"/>
      <c r="H35" s="31" t="n"/>
      <c r="I35" s="29" t="n"/>
      <c r="J35" s="30" t="n"/>
      <c r="K35" s="31" t="n"/>
      <c r="L35" s="29" t="n"/>
      <c r="M35" s="30" t="n"/>
      <c r="N35" s="31" t="n"/>
    </row>
    <row r="36" ht="34" customHeight="1" s="106">
      <c r="A36" s="28" t="inlineStr">
        <is>
          <t>提袋率</t>
        </is>
      </c>
      <c r="B36" s="37" t="n"/>
      <c r="C36" s="37" t="n"/>
      <c r="D36" s="30" t="n"/>
      <c r="E36" s="31" t="n"/>
      <c r="F36" s="37" t="n"/>
      <c r="G36" s="30" t="n"/>
      <c r="H36" s="31" t="n"/>
      <c r="I36" s="37" t="n"/>
      <c r="J36" s="30" t="n"/>
      <c r="K36" s="31" t="n"/>
      <c r="L36" s="37" t="n"/>
      <c r="M36" s="30" t="n"/>
      <c r="N36" s="31" t="n"/>
    </row>
    <row r="37" ht="34" customHeight="1" s="106">
      <c r="A37" s="20" t="inlineStr">
        <is>
          <t>舊換新台數:</t>
        </is>
      </c>
      <c r="B37" s="29" t="n"/>
      <c r="C37" s="29" t="n"/>
      <c r="D37" s="30" t="n"/>
      <c r="E37" s="31" t="n"/>
      <c r="F37" s="29" t="n"/>
      <c r="G37" s="30" t="n"/>
      <c r="H37" s="31" t="n"/>
      <c r="I37" s="29" t="n"/>
      <c r="J37" s="30" t="n"/>
      <c r="K37" s="31" t="n"/>
      <c r="L37" s="29" t="n"/>
      <c r="M37" s="30" t="n"/>
      <c r="N37" s="31" t="n"/>
    </row>
    <row r="38" s="106"/>
    <row r="39" s="106"/>
    <row r="40" s="106"/>
    <row r="41" s="106"/>
    <row r="42" s="106"/>
    <row r="43" s="106"/>
    <row r="44" s="106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8"/>
  <sheetViews>
    <sheetView zoomScale="64" zoomScaleNormal="75" workbookViewId="0">
      <selection activeCell="Q16" sqref="Q16"/>
    </sheetView>
  </sheetViews>
  <sheetFormatPr baseColWidth="10" defaultRowHeight="15"/>
  <cols>
    <col width="13.83203125" customWidth="1" style="106" min="1" max="1"/>
    <col width="22.1640625" customWidth="1" style="106" min="2" max="2"/>
    <col width="17" customWidth="1" style="106" min="3" max="17"/>
  </cols>
  <sheetData>
    <row r="1" ht="36" customHeight="1" s="106">
      <c r="A1" s="4" t="inlineStr">
        <is>
          <t>類別4代碼</t>
        </is>
      </c>
      <c r="B1" s="9" t="inlineStr">
        <is>
          <t>類別4名稱</t>
        </is>
      </c>
      <c r="C1" s="10" t="inlineStr">
        <is>
          <t>上週</t>
        </is>
      </c>
      <c r="D1" s="10" t="inlineStr">
        <is>
          <t>本週</t>
        </is>
      </c>
      <c r="E1" s="11" t="inlineStr">
        <is>
          <t>差異金額</t>
        </is>
      </c>
      <c r="F1" s="11" t="inlineStr">
        <is>
          <t>差異比例</t>
        </is>
      </c>
      <c r="G1" s="12" t="inlineStr">
        <is>
          <t>本月累積</t>
        </is>
      </c>
      <c r="H1" s="13" t="inlineStr">
        <is>
          <t>上月同期</t>
        </is>
      </c>
      <c r="I1" s="11" t="inlineStr">
        <is>
          <t>差異金額</t>
        </is>
      </c>
      <c r="J1" s="11" t="inlineStr">
        <is>
          <t>差異比例</t>
        </is>
      </c>
      <c r="K1" s="13" t="inlineStr">
        <is>
          <t>去年同期</t>
        </is>
      </c>
      <c r="L1" s="11" t="inlineStr">
        <is>
          <t>差異金額</t>
        </is>
      </c>
      <c r="M1" s="11" t="inlineStr">
        <is>
          <t>差異比例</t>
        </is>
      </c>
      <c r="N1" s="14" t="n">
        <v>2025</v>
      </c>
      <c r="O1" s="14" t="n">
        <v>2026</v>
      </c>
      <c r="P1" s="11" t="inlineStr">
        <is>
          <t>差異金額</t>
        </is>
      </c>
      <c r="Q1" s="11" t="inlineStr">
        <is>
          <t>差異比例</t>
        </is>
      </c>
    </row>
    <row r="2" ht="45" customHeight="1" s="106">
      <c r="A2" s="1" t="n">
        <v>4007</v>
      </c>
      <c r="B2" s="4" t="inlineStr">
        <is>
          <t>CPU 週邊配件</t>
        </is>
      </c>
      <c r="C2" s="5" t="n"/>
      <c r="D2" s="5" t="n"/>
      <c r="E2" s="5" t="n"/>
      <c r="F2" s="2" t="n"/>
      <c r="G2" s="5" t="n"/>
      <c r="H2" s="5" t="n"/>
      <c r="I2" s="5" t="n"/>
      <c r="J2" s="2" t="n"/>
      <c r="K2" s="5" t="n"/>
      <c r="L2" s="5" t="n"/>
      <c r="M2" s="2" t="n"/>
      <c r="N2" s="5" t="n"/>
      <c r="O2" s="5" t="n"/>
      <c r="P2" s="5" t="n"/>
      <c r="Q2" s="2" t="n"/>
    </row>
    <row r="3" ht="45" customHeight="1" s="106">
      <c r="A3" s="1" t="n">
        <v>4009</v>
      </c>
      <c r="B3" s="4" t="inlineStr">
        <is>
          <t>iPhone 週邊配件</t>
        </is>
      </c>
      <c r="C3" s="5" t="n"/>
      <c r="D3" s="5" t="n"/>
      <c r="E3" s="5" t="n"/>
      <c r="F3" s="2" t="n"/>
      <c r="G3" s="5" t="n"/>
      <c r="H3" s="5" t="n"/>
      <c r="I3" s="5" t="n"/>
      <c r="J3" s="2" t="n"/>
      <c r="K3" s="5" t="n"/>
      <c r="L3" s="5" t="n"/>
      <c r="M3" s="2" t="n"/>
      <c r="N3" s="5" t="n"/>
      <c r="O3" s="5" t="n"/>
      <c r="P3" s="5" t="n"/>
      <c r="Q3" s="2" t="n"/>
    </row>
    <row r="4" ht="45" customHeight="1" s="106">
      <c r="A4" s="1" t="n">
        <v>4010</v>
      </c>
      <c r="B4" s="4" t="inlineStr">
        <is>
          <t>iPad 週邊配件</t>
        </is>
      </c>
      <c r="C4" s="5" t="n"/>
      <c r="D4" s="5" t="n"/>
      <c r="E4" s="5" t="n"/>
      <c r="F4" s="2" t="n"/>
      <c r="G4" s="5" t="n"/>
      <c r="H4" s="5" t="n"/>
      <c r="I4" s="5" t="n"/>
      <c r="J4" s="2" t="n"/>
      <c r="K4" s="5" t="n"/>
      <c r="L4" s="5" t="n"/>
      <c r="M4" s="2" t="n"/>
      <c r="N4" s="5" t="n"/>
      <c r="O4" s="5" t="n"/>
      <c r="P4" s="5" t="n"/>
      <c r="Q4" s="2" t="n"/>
    </row>
    <row r="5" ht="45" customHeight="1" s="106">
      <c r="A5" s="1" t="n">
        <v>4012</v>
      </c>
      <c r="B5" s="4" t="inlineStr">
        <is>
          <t>CPU/iOS通用 週邊配件</t>
        </is>
      </c>
      <c r="C5" s="5" t="n"/>
      <c r="D5" s="5" t="n"/>
      <c r="E5" s="5" t="n"/>
      <c r="F5" s="2" t="n"/>
      <c r="G5" s="5" t="n"/>
      <c r="H5" s="5" t="n"/>
      <c r="I5" s="5" t="n"/>
      <c r="J5" s="2" t="n"/>
      <c r="K5" s="5" t="n"/>
      <c r="L5" s="5" t="n"/>
      <c r="M5" s="2" t="n"/>
      <c r="N5" s="5" t="n"/>
      <c r="O5" s="5" t="n"/>
      <c r="P5" s="5" t="n"/>
      <c r="Q5" s="2" t="n"/>
    </row>
    <row r="6" ht="45" customHeight="1" s="106">
      <c r="A6" s="1" t="n">
        <v>4013</v>
      </c>
      <c r="B6" s="4" t="inlineStr">
        <is>
          <t>Speakers</t>
        </is>
      </c>
      <c r="C6" s="5" t="n"/>
      <c r="D6" s="5" t="n"/>
      <c r="E6" s="5" t="n"/>
      <c r="F6" s="2" t="n"/>
      <c r="G6" s="5" t="n"/>
      <c r="H6" s="5" t="n"/>
      <c r="I6" s="5" t="n"/>
      <c r="J6" s="2" t="n"/>
      <c r="K6" s="5" t="n"/>
      <c r="L6" s="5" t="n"/>
      <c r="M6" s="2" t="n"/>
      <c r="N6" s="5" t="n"/>
      <c r="O6" s="5" t="n"/>
      <c r="P6" s="5" t="n"/>
      <c r="Q6" s="2" t="n"/>
    </row>
    <row r="7" ht="45" customHeight="1" s="106">
      <c r="A7" s="1" t="n">
        <v>4014</v>
      </c>
      <c r="B7" s="4" t="inlineStr">
        <is>
          <t>耳機</t>
        </is>
      </c>
      <c r="C7" s="5" t="n"/>
      <c r="D7" s="5" t="n"/>
      <c r="E7" s="1" t="n"/>
      <c r="F7" s="2" t="n"/>
      <c r="G7" s="5" t="n"/>
      <c r="H7" s="5" t="n"/>
      <c r="I7" s="5" t="n"/>
      <c r="J7" s="2" t="n"/>
      <c r="K7" s="5" t="n"/>
      <c r="L7" s="5" t="n"/>
      <c r="M7" s="2" t="n"/>
      <c r="N7" s="5" t="n"/>
      <c r="O7" s="5" t="n"/>
      <c r="P7" s="5" t="n"/>
      <c r="Q7" s="2" t="n"/>
    </row>
    <row r="8" ht="45" customHeight="1" s="106">
      <c r="A8" s="1" t="n">
        <v>4017</v>
      </c>
      <c r="B8" s="4" t="inlineStr">
        <is>
          <t>其他週邊配件</t>
        </is>
      </c>
      <c r="C8" s="1" t="n"/>
      <c r="D8" s="1" t="n"/>
      <c r="E8" s="1" t="n"/>
      <c r="F8" s="1" t="n"/>
      <c r="G8" s="1" t="n"/>
      <c r="H8" s="1" t="n"/>
      <c r="I8" s="1" t="n"/>
      <c r="J8" s="2" t="n"/>
      <c r="K8" s="1" t="n"/>
      <c r="L8" s="1" t="n"/>
      <c r="M8" s="1" t="n"/>
      <c r="N8" s="1" t="n"/>
      <c r="O8" s="5" t="n"/>
      <c r="P8" s="5" t="n"/>
      <c r="Q8" s="1" t="n"/>
    </row>
    <row r="9" ht="45" customHeight="1" s="106">
      <c r="A9" s="1" t="n">
        <v>4021</v>
      </c>
      <c r="B9" s="4" t="inlineStr">
        <is>
          <t>其他收入</t>
        </is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</row>
    <row r="10" ht="45" customHeight="1" s="106">
      <c r="A10" s="1" t="n">
        <v>4022</v>
      </c>
      <c r="B10" s="4" t="inlineStr">
        <is>
          <t>iOS通用週邊配件</t>
        </is>
      </c>
      <c r="C10" s="1" t="n"/>
      <c r="D10" s="5" t="n"/>
      <c r="E10" s="5" t="n"/>
      <c r="F10" s="1" t="n"/>
      <c r="G10" s="5" t="n"/>
      <c r="H10" s="5" t="n"/>
      <c r="I10" s="5" t="n"/>
      <c r="J10" s="2" t="n"/>
      <c r="K10" s="5" t="n"/>
      <c r="L10" s="5" t="n"/>
      <c r="M10" s="2" t="n"/>
      <c r="N10" s="5" t="n"/>
      <c r="O10" s="5" t="n"/>
      <c r="P10" s="5" t="n"/>
      <c r="Q10" s="2" t="n"/>
    </row>
    <row r="11" ht="45" customHeight="1" s="106">
      <c r="A11" s="1" t="n">
        <v>4026</v>
      </c>
      <c r="B11" s="4" t="inlineStr">
        <is>
          <t>SmartA週邊產品</t>
        </is>
      </c>
      <c r="C11" s="1" t="n"/>
      <c r="D11" s="1" t="n"/>
      <c r="E11" s="1" t="n"/>
      <c r="F11" s="1" t="n"/>
      <c r="G11" s="1" t="n"/>
      <c r="H11" s="5" t="n"/>
      <c r="I11" s="5" t="n"/>
      <c r="J11" s="2" t="n"/>
      <c r="K11" s="5" t="n"/>
      <c r="L11" s="5" t="n"/>
      <c r="M11" s="2" t="n"/>
      <c r="N11" s="5" t="n"/>
      <c r="O11" s="5" t="n"/>
      <c r="P11" s="5" t="n"/>
      <c r="Q11" s="2" t="n"/>
    </row>
    <row r="12" ht="45" customHeight="1" s="106">
      <c r="A12" s="1" t="n">
        <v>4039</v>
      </c>
      <c r="B12" s="4" t="inlineStr">
        <is>
          <t>Apple Watch 週邊配件</t>
        </is>
      </c>
      <c r="C12" s="5" t="n"/>
      <c r="D12" s="5" t="n"/>
      <c r="E12" s="1" t="n"/>
      <c r="F12" s="2" t="n"/>
      <c r="G12" s="5" t="n"/>
      <c r="H12" s="5" t="n"/>
      <c r="I12" s="5" t="n"/>
      <c r="J12" s="2" t="n"/>
      <c r="K12" s="5" t="n"/>
      <c r="L12" s="1" t="n"/>
      <c r="M12" s="2" t="n"/>
      <c r="N12" s="5" t="n"/>
      <c r="O12" s="5" t="n"/>
      <c r="P12" s="5" t="n"/>
      <c r="Q12" s="2" t="n"/>
    </row>
    <row r="13" ht="45" customHeight="1" s="106">
      <c r="A13" s="1" t="n">
        <v>4050</v>
      </c>
      <c r="B13" s="4" t="inlineStr">
        <is>
          <t>上網卡</t>
        </is>
      </c>
      <c r="C13" s="1" t="n"/>
      <c r="D13" s="1" t="n"/>
      <c r="E13" s="1" t="n"/>
      <c r="F13" s="1" t="n"/>
      <c r="G13" s="1" t="n"/>
      <c r="H13" s="1" t="n"/>
      <c r="I13" s="1" t="n"/>
      <c r="J13" s="2" t="n"/>
      <c r="K13" s="5" t="n"/>
      <c r="L13" s="5" t="n"/>
      <c r="M13" s="2" t="n"/>
      <c r="N13" s="5" t="n"/>
      <c r="O13" s="5" t="n"/>
      <c r="P13" s="1" t="n"/>
      <c r="Q13" s="2" t="n"/>
    </row>
    <row r="14" ht="45" customHeight="1" s="106">
      <c r="A14" s="1" t="n">
        <v>4053</v>
      </c>
      <c r="B14" s="4" t="inlineStr">
        <is>
          <t>家居生活</t>
        </is>
      </c>
      <c r="C14" s="1" t="n"/>
      <c r="D14" s="1" t="n"/>
      <c r="E14" s="1" t="n"/>
      <c r="F14" s="1" t="n"/>
      <c r="G14" s="1" t="n"/>
      <c r="H14" s="1" t="n"/>
      <c r="I14" s="1" t="n"/>
      <c r="J14" s="2" t="n"/>
      <c r="K14" s="1" t="n"/>
      <c r="L14" s="1" t="n"/>
      <c r="M14" s="1" t="n"/>
      <c r="N14" s="1" t="n"/>
      <c r="O14" s="1" t="n"/>
      <c r="P14" s="1" t="n"/>
      <c r="Q14" s="1" t="n"/>
    </row>
    <row r="15" ht="45" customHeight="1" s="106">
      <c r="A15" s="1" t="n">
        <v>4069</v>
      </c>
      <c r="B15" s="4" t="inlineStr">
        <is>
          <t>AirPods週邊配件</t>
        </is>
      </c>
      <c r="C15" s="5" t="n"/>
      <c r="D15" s="5" t="n"/>
      <c r="E15" s="5" t="n"/>
      <c r="F15" s="2" t="n"/>
      <c r="G15" s="5" t="n"/>
      <c r="H15" s="5" t="n"/>
      <c r="I15" s="5" t="n"/>
      <c r="J15" s="2" t="n"/>
      <c r="K15" s="5" t="n"/>
      <c r="L15" s="5" t="n"/>
      <c r="M15" s="2" t="n"/>
      <c r="N15" s="5" t="n"/>
      <c r="O15" s="5" t="n"/>
      <c r="P15" s="5" t="n"/>
      <c r="Q15" s="2" t="n"/>
    </row>
    <row r="16" ht="45" customHeight="1" s="106">
      <c r="A16" s="1" t="n">
        <v>4040</v>
      </c>
      <c r="B16" s="4" t="inlineStr">
        <is>
          <t>SA CARE</t>
        </is>
      </c>
      <c r="C16" s="5" t="n"/>
      <c r="D16" s="5" t="n"/>
      <c r="E16" s="5" t="n"/>
      <c r="F16" s="2" t="n"/>
      <c r="G16" s="5" t="n"/>
      <c r="H16" s="5" t="n"/>
      <c r="I16" s="5" t="n"/>
      <c r="J16" s="2" t="n"/>
      <c r="K16" s="5" t="n"/>
      <c r="L16" s="5" t="n"/>
      <c r="M16" s="2" t="n"/>
      <c r="N16" s="5" t="n"/>
      <c r="O16" s="5" t="n"/>
      <c r="P16" s="5" t="n"/>
      <c r="Q16" s="2" t="n"/>
    </row>
    <row r="17" ht="45" customHeight="1" s="106">
      <c r="A17" s="6" t="n"/>
      <c r="B17" s="7" t="inlineStr">
        <is>
          <t>加總</t>
        </is>
      </c>
      <c r="C17" s="8" t="n"/>
      <c r="D17" s="8" t="n"/>
      <c r="E17" s="8" t="n"/>
      <c r="F17" s="3" t="n"/>
      <c r="G17" s="8" t="n"/>
      <c r="H17" s="8" t="n"/>
      <c r="I17" s="8" t="n"/>
      <c r="J17" s="3" t="n"/>
      <c r="K17" s="8" t="n"/>
      <c r="L17" s="8" t="n"/>
      <c r="M17" s="3" t="n"/>
      <c r="N17" s="8" t="n"/>
      <c r="O17" s="8" t="n"/>
      <c r="P17" s="8" t="n"/>
      <c r="Q17" s="3" t="n"/>
    </row>
    <row r="18" ht="45" customHeight="1" s="106">
      <c r="A18" s="6" t="n"/>
      <c r="B18" s="7" t="inlineStr">
        <is>
          <t>純配件</t>
        </is>
      </c>
      <c r="C18" s="8" t="n"/>
      <c r="D18" s="8" t="n"/>
      <c r="E18" s="8" t="n"/>
      <c r="F18" s="3" t="n"/>
      <c r="G18" s="8" t="n"/>
      <c r="H18" s="8" t="n"/>
      <c r="I18" s="8" t="n"/>
      <c r="J18" s="3" t="n"/>
      <c r="K18" s="8" t="n"/>
      <c r="L18" s="8" t="n"/>
      <c r="M18" s="3" t="n"/>
      <c r="N18" s="8" t="n"/>
      <c r="O18" s="8" t="n"/>
      <c r="P18" s="8" t="n"/>
      <c r="Q18" s="3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zoomScale="75" workbookViewId="0">
      <selection activeCell="F25" sqref="F25"/>
    </sheetView>
  </sheetViews>
  <sheetFormatPr baseColWidth="10" defaultRowHeight="15"/>
  <cols>
    <col width="18.33203125" customWidth="1" style="106" min="2" max="2"/>
    <col width="77.83203125" customWidth="1" style="106" min="3" max="3"/>
    <col width="19.6640625" customWidth="1" style="106" min="5" max="5"/>
    <col width="81.5" customWidth="1" style="106" min="6" max="6"/>
    <col width="10.5" customWidth="1" style="106" min="7" max="7"/>
    <col width="19.1640625" customWidth="1" style="106" min="8" max="8"/>
  </cols>
  <sheetData>
    <row r="1" ht="38" customHeight="1" s="106">
      <c r="A1" s="38" t="inlineStr">
        <is>
          <t>排名</t>
        </is>
      </c>
      <c r="B1" s="38" t="inlineStr">
        <is>
          <t>存貨代碼</t>
        </is>
      </c>
      <c r="C1" s="38" t="inlineStr">
        <is>
          <t>品名</t>
        </is>
      </c>
      <c r="D1" s="38" t="inlineStr">
        <is>
          <t>週銷累計 數量</t>
        </is>
      </c>
      <c r="E1" s="38" t="inlineStr">
        <is>
          <t>存貨代碼</t>
        </is>
      </c>
      <c r="F1" s="38" t="inlineStr">
        <is>
          <t>品名</t>
        </is>
      </c>
      <c r="G1" s="38" t="inlineStr">
        <is>
          <t>月銷累計 數量</t>
        </is>
      </c>
      <c r="H1" s="38" t="inlineStr">
        <is>
          <t>金額</t>
        </is>
      </c>
    </row>
    <row r="2" ht="49" customHeight="1" s="106">
      <c r="A2" s="39" t="n">
        <v>1</v>
      </c>
      <c r="B2" s="40" t="inlineStr">
        <is>
          <t>26200953</t>
        </is>
      </c>
      <c r="C2" s="40" t="inlineStr">
        <is>
          <t>Moshi Integra™ USB-C to USB-C (240W/480Mbps 1.2m) 充電線/傳輸編織線-灰</t>
        </is>
      </c>
      <c r="D2" s="41" t="n">
        <v>7</v>
      </c>
      <c r="E2" s="40" t="inlineStr">
        <is>
          <t>54600001</t>
        </is>
      </c>
      <c r="F2" s="40" t="inlineStr">
        <is>
          <t>Riivan x STUDIO A 聯名款 磁吸藍牙iPad觸控筆</t>
        </is>
      </c>
      <c r="G2" s="41" t="n">
        <v>11</v>
      </c>
      <c r="H2" s="50" t="n">
        <v>13344</v>
      </c>
    </row>
    <row r="3" ht="49" customHeight="1" s="106">
      <c r="A3" s="39" t="n">
        <v>2</v>
      </c>
      <c r="B3" s="40" t="inlineStr">
        <is>
          <t>54600001</t>
        </is>
      </c>
      <c r="C3" s="40" t="inlineStr">
        <is>
          <t>Riivan x STUDIO A 聯名款 磁吸藍牙iPad觸控筆</t>
        </is>
      </c>
      <c r="D3" s="41" t="n">
        <v>6</v>
      </c>
      <c r="E3" s="40" t="inlineStr">
        <is>
          <t>50900202</t>
        </is>
      </c>
      <c r="F3" s="40" t="inlineStr">
        <is>
          <t>美國PureGear普格爾 iPhone 17 Pro Pure Box 鏡頭框一體式保護膜 - 透明</t>
        </is>
      </c>
      <c r="G3" s="41" t="n">
        <v>7</v>
      </c>
      <c r="H3" s="50" t="n">
        <v>1876</v>
      </c>
    </row>
    <row r="4" ht="49" customHeight="1" s="106">
      <c r="A4" s="39" t="n">
        <v>3</v>
      </c>
      <c r="B4" s="40" t="inlineStr">
        <is>
          <t>50900202</t>
        </is>
      </c>
      <c r="C4" s="40" t="inlineStr">
        <is>
          <t>美國PureGear普格爾 iPhone 17 Pro Pure Box 鏡頭框一體式保護膜 - 透明</t>
        </is>
      </c>
      <c r="D4" s="41" t="n">
        <v>6</v>
      </c>
      <c r="E4" s="40" t="inlineStr">
        <is>
          <t>26200953</t>
        </is>
      </c>
      <c r="F4" s="40" t="inlineStr">
        <is>
          <t>Moshi Integra™ USB-C to USB-C (240W/480Mbps 1.2m) 充電線/傳輸編織線-灰</t>
        </is>
      </c>
      <c r="G4" s="41" t="n">
        <v>7</v>
      </c>
      <c r="H4" s="50" t="n">
        <v>4830</v>
      </c>
    </row>
    <row r="5" ht="49" customHeight="1" s="106">
      <c r="A5" s="39" t="n">
        <v>4</v>
      </c>
      <c r="B5" s="40" t="inlineStr">
        <is>
          <t>51600005</t>
        </is>
      </c>
      <c r="C5" s="40" t="inlineStr">
        <is>
          <t>美國PureGear普格爾 Apple Watch 46mm-完美酷膜 手錶貼修復膜</t>
        </is>
      </c>
      <c r="D5" s="41" t="n">
        <v>4</v>
      </c>
      <c r="E5" s="40" t="inlineStr">
        <is>
          <t>26200615</t>
        </is>
      </c>
      <c r="F5" s="40" t="inlineStr">
        <is>
          <t>moshi Integra強韌系列USB-C to Lightning 耐用充電／傳輸編織線1.2m鈦灰</t>
        </is>
      </c>
      <c r="G5" s="41" t="n">
        <v>5</v>
      </c>
      <c r="H5" s="50" t="n">
        <v>3450</v>
      </c>
    </row>
    <row r="6" ht="49" customHeight="1" s="106">
      <c r="A6" s="39" t="n">
        <v>5</v>
      </c>
      <c r="B6" s="40" t="inlineStr">
        <is>
          <t>27700483</t>
        </is>
      </c>
      <c r="C6" s="40" t="inlineStr">
        <is>
          <t>PQI qCable USB-C to C 3A 100cm 編織線-銀</t>
        </is>
      </c>
      <c r="D6" s="41" t="n">
        <v>4</v>
      </c>
      <c r="E6" s="40" t="inlineStr">
        <is>
          <t>27700483</t>
        </is>
      </c>
      <c r="F6" s="40" t="inlineStr">
        <is>
          <t>PQI qCable USB-C to C 3A 100cm 編織線-銀</t>
        </is>
      </c>
      <c r="G6" s="41" t="n">
        <v>4</v>
      </c>
      <c r="H6" s="50" t="n">
        <v>1076</v>
      </c>
    </row>
    <row r="7" ht="49" customHeight="1" s="106">
      <c r="A7" s="39" t="n">
        <v>6</v>
      </c>
      <c r="B7" s="40" t="inlineStr">
        <is>
          <t>27700595</t>
        </is>
      </c>
      <c r="C7" s="40" t="inlineStr">
        <is>
          <t>PQI PDC35W 充電器(1A1C)</t>
        </is>
      </c>
      <c r="D7" s="41" t="n">
        <v>3</v>
      </c>
      <c r="E7" s="40" t="inlineStr">
        <is>
          <t>27700595</t>
        </is>
      </c>
      <c r="F7" s="40" t="inlineStr">
        <is>
          <t>PQI PDC35W 充電器(1A1C)</t>
        </is>
      </c>
      <c r="G7" s="41" t="n">
        <v>4</v>
      </c>
      <c r="H7" s="50" t="n">
        <v>1813</v>
      </c>
    </row>
    <row r="8" ht="49" customHeight="1" s="106">
      <c r="A8" s="39" t="n">
        <v>7</v>
      </c>
      <c r="B8" s="40" t="inlineStr">
        <is>
          <t>26200615</t>
        </is>
      </c>
      <c r="C8" s="40" t="inlineStr">
        <is>
          <t>moshi Integra強韌系列USB-C to Lightning 耐用充電／傳輸編織線1.2m鈦灰</t>
        </is>
      </c>
      <c r="D8" s="41" t="n">
        <v>3</v>
      </c>
      <c r="E8" s="40" t="inlineStr">
        <is>
          <t>53600017</t>
        </is>
      </c>
      <c r="F8" s="40" t="inlineStr">
        <is>
          <t>Belkin BoostCharge Pro 45W PPS單孔Type C旅充</t>
        </is>
      </c>
      <c r="G8" s="41" t="n">
        <v>4</v>
      </c>
      <c r="H8" s="50" t="n">
        <v>3560</v>
      </c>
    </row>
    <row r="9" ht="49" customHeight="1" s="106">
      <c r="A9" s="39" t="n">
        <v>8</v>
      </c>
      <c r="B9" s="40" t="inlineStr">
        <is>
          <t>53600017</t>
        </is>
      </c>
      <c r="C9" s="40" t="inlineStr">
        <is>
          <t>Belkin BoostCharge Pro 45W PPS單孔Type C旅充</t>
        </is>
      </c>
      <c r="D9" s="41" t="n">
        <v>3</v>
      </c>
      <c r="E9" s="40" t="inlineStr">
        <is>
          <t>45300807</t>
        </is>
      </c>
      <c r="F9" s="40" t="inlineStr">
        <is>
          <t>CHANGEi iPhone 17 Pro/Pro Max AR98航太極透鏡頭-橘</t>
        </is>
      </c>
      <c r="G9" s="41" t="n">
        <v>4</v>
      </c>
      <c r="H9" s="50" t="n">
        <v>3812</v>
      </c>
    </row>
    <row r="10" ht="49" customHeight="1" s="106">
      <c r="A10" s="39" t="n">
        <v>9</v>
      </c>
      <c r="B10" s="40" t="inlineStr">
        <is>
          <t>49300171</t>
        </is>
      </c>
      <c r="C10" s="40" t="inlineStr">
        <is>
          <t>eiP Magnetix 2 可拆式鍵盤2代  (適用於iPad Air4.5.6.7 11吋/Pro11吋 1st-4th) 黑色</t>
        </is>
      </c>
      <c r="D10" s="41" t="n">
        <v>3</v>
      </c>
      <c r="E10" s="40" t="inlineStr">
        <is>
          <t>51600005</t>
        </is>
      </c>
      <c r="F10" s="40" t="inlineStr">
        <is>
          <t>美國PureGear普格爾 Apple Watch 46mm-完美酷膜 手錶貼修復膜</t>
        </is>
      </c>
      <c r="G10" s="41" t="n">
        <v>4</v>
      </c>
      <c r="H10" s="50" t="n">
        <v>1496</v>
      </c>
    </row>
    <row r="11" ht="49" customHeight="1" s="106">
      <c r="A11" s="39" t="n">
        <v>10</v>
      </c>
      <c r="B11" s="40" t="inlineStr">
        <is>
          <t>27700683</t>
        </is>
      </c>
      <c r="C11" s="40" t="inlineStr">
        <is>
          <t>PQI iCable USB-A to Lightning 100cm 充電線-黑(TPE)</t>
        </is>
      </c>
      <c r="D11" s="41" t="n">
        <v>3</v>
      </c>
      <c r="E11" s="40" t="inlineStr">
        <is>
          <t>27700683</t>
        </is>
      </c>
      <c r="F11" s="40" t="inlineStr">
        <is>
          <t>PQI iCable USB-A to Lightning 100cm 充電線-黑(TPE)</t>
        </is>
      </c>
      <c r="G11" s="41" t="n">
        <v>4</v>
      </c>
      <c r="H11" s="50" t="n">
        <v>1000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zoomScale="75" workbookViewId="0">
      <selection activeCell="F2" sqref="F2"/>
    </sheetView>
  </sheetViews>
  <sheetFormatPr baseColWidth="10" defaultRowHeight="15"/>
  <cols>
    <col width="18.33203125" customWidth="1" style="106" min="2" max="2"/>
    <col width="93" customWidth="1" style="106" min="3" max="3"/>
    <col width="19.6640625" customWidth="1" style="106" min="5" max="5"/>
    <col width="92.33203125" customWidth="1" style="106" min="6" max="6"/>
    <col width="19" bestFit="1" customWidth="1" style="106" min="7" max="7"/>
    <col width="19.1640625" customWidth="1" style="106" min="8" max="8"/>
  </cols>
  <sheetData>
    <row r="1" ht="38" customHeight="1" s="106">
      <c r="A1" s="38" t="inlineStr">
        <is>
          <t>排名</t>
        </is>
      </c>
      <c r="B1" s="38" t="inlineStr">
        <is>
          <t>存貨代碼</t>
        </is>
      </c>
      <c r="C1" s="38" t="inlineStr">
        <is>
          <t>品名</t>
        </is>
      </c>
      <c r="D1" s="38" t="inlineStr">
        <is>
          <t>週銷累計 數量</t>
        </is>
      </c>
      <c r="E1" s="38" t="inlineStr">
        <is>
          <t>存貨代碼</t>
        </is>
      </c>
      <c r="F1" s="38" t="inlineStr">
        <is>
          <t>品名</t>
        </is>
      </c>
      <c r="G1" s="38" t="inlineStr">
        <is>
          <t>月銷累計 數量</t>
        </is>
      </c>
      <c r="H1" s="38" t="inlineStr">
        <is>
          <t>金額</t>
        </is>
      </c>
    </row>
    <row r="2" ht="49" customHeight="1" s="106">
      <c r="A2" s="39" t="n">
        <v>1</v>
      </c>
      <c r="B2" s="40" t="inlineStr">
        <is>
          <t>5902002</t>
        </is>
      </c>
      <c r="C2" s="40" t="inlineStr">
        <is>
          <t>pqi iPhone 17 Pro 康寧鋼化玻璃保護貼 2.5D</t>
        </is>
      </c>
      <c r="D2" s="41" t="n">
        <v>2</v>
      </c>
      <c r="E2" s="40" t="inlineStr">
        <is>
          <t>5902002</t>
        </is>
      </c>
      <c r="F2" s="40" t="inlineStr">
        <is>
          <t>pqi iPhone 17 Pro 康寧鋼化玻璃保護貼 2.5D</t>
        </is>
      </c>
      <c r="G2" s="113" t="n">
        <v>6</v>
      </c>
      <c r="H2" s="114" t="n">
        <v>6490</v>
      </c>
    </row>
    <row r="3" ht="49" customHeight="1" s="106">
      <c r="A3" s="39" t="n">
        <v>2</v>
      </c>
      <c r="B3" s="40" t="inlineStr">
        <is>
          <t>5901984</t>
        </is>
      </c>
      <c r="C3" s="40" t="inlineStr">
        <is>
          <t>pqi-45W GaN氮化镓(2C)充電器MC32-白色</t>
        </is>
      </c>
      <c r="D3" s="41" t="n">
        <v>1</v>
      </c>
      <c r="E3" s="40" t="inlineStr">
        <is>
          <t>22400301</t>
        </is>
      </c>
      <c r="F3" s="40" t="inlineStr">
        <is>
          <t>維修專用-裸裝滿版玻璃保貼iPhone 14 Pro Max</t>
        </is>
      </c>
      <c r="G3" s="113" t="n">
        <v>2</v>
      </c>
      <c r="H3" s="114" t="n">
        <v>1380</v>
      </c>
    </row>
    <row r="4" ht="49" customHeight="1" s="106">
      <c r="A4" s="39" t="n">
        <v>3</v>
      </c>
      <c r="B4" s="40" t="inlineStr">
        <is>
          <t>5901995</t>
        </is>
      </c>
      <c r="C4" s="40" t="inlineStr">
        <is>
          <t>pqi AirPods Pro 3 皮革保護殼 - 黑色</t>
        </is>
      </c>
      <c r="D4" s="41" t="n">
        <v>1</v>
      </c>
      <c r="E4" s="40" t="inlineStr">
        <is>
          <t>46200219</t>
        </is>
      </c>
      <c r="F4" s="40" t="inlineStr">
        <is>
          <t>pqi iPad (A16) 11吋 玻璃保護貼</t>
        </is>
      </c>
      <c r="G4" s="113" t="n">
        <v>2</v>
      </c>
      <c r="H4" s="114" t="n">
        <v>2304</v>
      </c>
    </row>
    <row r="5" ht="49" customHeight="1" s="106">
      <c r="A5" s="39" t="n">
        <v>4</v>
      </c>
      <c r="B5" s="40" t="inlineStr">
        <is>
          <t>5902003</t>
        </is>
      </c>
      <c r="C5" s="40" t="inlineStr">
        <is>
          <t>pqi iPhone 17 Pro Max 康寧鋼化玻璃保護貼 2.5D</t>
        </is>
      </c>
      <c r="D5" s="41" t="n">
        <v>1</v>
      </c>
      <c r="E5" s="40" t="inlineStr">
        <is>
          <t>46200232</t>
        </is>
      </c>
      <c r="F5" s="40" t="inlineStr">
        <is>
          <t>pqi iPhone 17 Pro / Pro Max 鏡頭貼 深藍</t>
        </is>
      </c>
      <c r="G5" s="113" t="n">
        <v>2</v>
      </c>
      <c r="H5" s="114" t="n">
        <v>1242</v>
      </c>
    </row>
    <row r="6" ht="49" customHeight="1" s="106">
      <c r="A6" s="39" t="n">
        <v>5</v>
      </c>
      <c r="B6" s="40" t="inlineStr">
        <is>
          <t>22400301</t>
        </is>
      </c>
      <c r="C6" s="40" t="inlineStr">
        <is>
          <t>維修專用-裸裝滿版玻璃保貼iPhone 14 Pro Max</t>
        </is>
      </c>
      <c r="D6" s="41" t="n">
        <v>1</v>
      </c>
      <c r="E6" s="40" t="inlineStr">
        <is>
          <t>5901984</t>
        </is>
      </c>
      <c r="F6" s="40" t="inlineStr">
        <is>
          <t>pqi-45W GaN氮化镓(2C)充電器MC32-白色</t>
        </is>
      </c>
      <c r="G6" s="113" t="n">
        <v>1</v>
      </c>
      <c r="H6" s="114" t="n">
        <v>621</v>
      </c>
    </row>
    <row r="7" ht="49" customHeight="1" s="106">
      <c r="A7" s="39" t="n">
        <v>6</v>
      </c>
      <c r="B7" s="40" t="inlineStr">
        <is>
          <t>46200123</t>
        </is>
      </c>
      <c r="C7" s="40" t="inlineStr">
        <is>
          <t>VAP-iPad mini 8.3吋 (6/A17 Pro) 玻璃保護貼</t>
        </is>
      </c>
      <c r="D7" s="41" t="n">
        <v>1</v>
      </c>
      <c r="E7" s="40" t="inlineStr">
        <is>
          <t>5901995</t>
        </is>
      </c>
      <c r="F7" s="40" t="inlineStr">
        <is>
          <t>pqi AirPods Pro 3 皮革保護殼 - 黑色</t>
        </is>
      </c>
      <c r="G7" s="113" t="n">
        <v>1</v>
      </c>
      <c r="H7" s="114" t="n">
        <v>801</v>
      </c>
    </row>
    <row r="8" ht="49" customHeight="1" s="106">
      <c r="A8" s="39" t="n">
        <v>7</v>
      </c>
      <c r="B8" s="40" t="inlineStr">
        <is>
          <t>46200168</t>
        </is>
      </c>
      <c r="C8" s="40" t="inlineStr">
        <is>
          <t>VAP-MacBook Pro 14吋亮面保護貼</t>
        </is>
      </c>
      <c r="D8" s="41" t="n">
        <v>1</v>
      </c>
      <c r="E8" s="40" t="inlineStr">
        <is>
          <t>5902003</t>
        </is>
      </c>
      <c r="F8" s="40" t="inlineStr">
        <is>
          <t>pqi iPhone 17 Pro Max 康寧鋼化玻璃保護貼 2.5D</t>
        </is>
      </c>
      <c r="G8" s="113" t="n">
        <v>1</v>
      </c>
      <c r="H8" s="114" t="n">
        <v>1180</v>
      </c>
    </row>
    <row r="9" ht="49" customHeight="1" s="106">
      <c r="A9" s="39" t="n">
        <v>8</v>
      </c>
      <c r="B9" s="40" t="inlineStr">
        <is>
          <t>46200211</t>
        </is>
      </c>
      <c r="C9" s="40" t="inlineStr">
        <is>
          <t>@VAP iPhone 16e 玻璃保護貼</t>
        </is>
      </c>
      <c r="D9" s="41" t="n">
        <v>1</v>
      </c>
      <c r="E9" s="40" t="inlineStr">
        <is>
          <t>46200123</t>
        </is>
      </c>
      <c r="F9" s="40" t="inlineStr">
        <is>
          <t>VAP-iPad mini 8.3吋 (6/A17 Pro) 玻璃保護貼</t>
        </is>
      </c>
      <c r="G9" s="113" t="n">
        <v>1</v>
      </c>
      <c r="H9" s="114" t="n">
        <v>1152</v>
      </c>
    </row>
    <row r="10" ht="49" customHeight="1" s="106">
      <c r="A10" s="39" t="n">
        <v>9</v>
      </c>
      <c r="B10" s="40" t="inlineStr">
        <is>
          <t>46200217</t>
        </is>
      </c>
      <c r="C10" s="40" t="inlineStr">
        <is>
          <t>@pqi-iPad Air 11吋 (M3/M4)-玻璃保護貼</t>
        </is>
      </c>
      <c r="D10" s="41" t="n">
        <v>1</v>
      </c>
      <c r="E10" s="40" t="inlineStr">
        <is>
          <t>46200168</t>
        </is>
      </c>
      <c r="F10" s="40" t="inlineStr">
        <is>
          <t>VAP-MacBook Pro 14吋亮面保護貼</t>
        </is>
      </c>
      <c r="G10" s="113" t="n">
        <v>1</v>
      </c>
      <c r="H10" s="114" t="n">
        <v>1115</v>
      </c>
    </row>
    <row r="11" ht="49" customHeight="1" s="106">
      <c r="A11" s="39" t="n">
        <v>10</v>
      </c>
      <c r="B11" s="40" t="inlineStr">
        <is>
          <t>46200229</t>
        </is>
      </c>
      <c r="C11" s="40" t="inlineStr">
        <is>
          <t>pqi iPhone 17 Pro / Pro Max 鏡頭貼 銀</t>
        </is>
      </c>
      <c r="D11" s="41" t="n">
        <v>1</v>
      </c>
      <c r="E11" s="40" t="inlineStr">
        <is>
          <t>46200211</t>
        </is>
      </c>
      <c r="F11" s="40" t="inlineStr">
        <is>
          <t>@VAP iPhone 16e 玻璃保護貼</t>
        </is>
      </c>
      <c r="G11" s="113" t="n">
        <v>1</v>
      </c>
      <c r="H11" s="114" t="n">
        <v>981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12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P18" sqref="P18"/>
    </sheetView>
  </sheetViews>
  <sheetFormatPr baseColWidth="10" defaultRowHeight="15"/>
  <cols>
    <col width="13" customWidth="1" style="106" min="1" max="1"/>
    <col width="10.5" customWidth="1" style="106" min="2" max="2"/>
    <col width="10.5" customWidth="1" style="106" min="3" max="3"/>
    <col width="10.5" customWidth="1" style="106" min="4" max="4"/>
    <col width="10.5" customWidth="1" style="106" min="5" max="5"/>
    <col width="10.5" customWidth="1" style="106" min="6" max="6"/>
    <col width="10.5" customWidth="1" style="106" min="7" max="7"/>
    <col width="10.5" customWidth="1" style="106" min="8" max="8"/>
    <col width="10.5" customWidth="1" style="106" min="9" max="9"/>
    <col width="10.5" customWidth="1" style="106" min="10" max="10"/>
    <col width="10.5" customWidth="1" style="106" min="11" max="11"/>
    <col width="10.5" customWidth="1" style="106" min="12" max="12"/>
    <col width="10.5" customWidth="1" style="106" min="13" max="13"/>
    <col width="10.5" customWidth="1" style="106" min="14" max="14"/>
    <col width="10.5" customWidth="1" style="106" min="15" max="15"/>
    <col width="10.5" customWidth="1" style="106" min="16" max="16"/>
    <col width="10.5" customWidth="1" style="106" min="17" max="17"/>
    <col width="10.5" customWidth="1" style="106" min="18" max="18"/>
    <col width="10.5" customWidth="1" style="106" min="19" max="19"/>
    <col width="10.5" customWidth="1" style="106" min="20" max="20"/>
    <col width="10.5" customWidth="1" style="106" min="21" max="21"/>
    <col width="10.5" customWidth="1" style="106" min="22" max="22"/>
    <col width="10.5" customWidth="1" style="106" min="23" max="23"/>
    <col width="10.5" customWidth="1" style="106" min="24" max="24"/>
    <col width="10.5" customWidth="1" style="106" min="25" max="25"/>
    <col width="10.5" customWidth="1" style="106" min="26" max="26"/>
    <col width="10.5" customWidth="1" style="106" min="27" max="27"/>
  </cols>
  <sheetData>
    <row r="1" ht="32" customHeight="1" s="106">
      <c r="A1" s="116" t="inlineStr">
        <is>
          <t>士林</t>
        </is>
      </c>
      <c r="B1" s="117" t="inlineStr">
        <is>
          <t>CPU</t>
        </is>
      </c>
      <c r="C1" s="117" t="inlineStr">
        <is>
          <t>配件</t>
        </is>
      </c>
      <c r="D1" s="117" t="inlineStr">
        <is>
          <t>搭售率</t>
        </is>
      </c>
      <c r="E1" s="117" t="inlineStr">
        <is>
          <t>CPU
零搭售</t>
        </is>
      </c>
      <c r="F1" s="118" t="inlineStr">
        <is>
          <t>零搭售
比例</t>
        </is>
      </c>
      <c r="G1" s="119" t="inlineStr">
        <is>
          <t>iPhone</t>
        </is>
      </c>
      <c r="H1" s="119" t="inlineStr">
        <is>
          <t>配件</t>
        </is>
      </c>
      <c r="I1" s="119" t="inlineStr">
        <is>
          <t>搭售率</t>
        </is>
      </c>
      <c r="J1" s="119" t="inlineStr">
        <is>
          <t>iPhone
零搭售</t>
        </is>
      </c>
      <c r="K1" s="120" t="inlineStr">
        <is>
          <t>零搭售
比例</t>
        </is>
      </c>
      <c r="L1" s="121" t="inlineStr">
        <is>
          <t>iPad</t>
        </is>
      </c>
      <c r="M1" s="121" t="inlineStr">
        <is>
          <t>配件</t>
        </is>
      </c>
      <c r="N1" s="121" t="inlineStr">
        <is>
          <t>搭售率</t>
        </is>
      </c>
      <c r="O1" s="121" t="inlineStr">
        <is>
          <t>iPad
零搭售</t>
        </is>
      </c>
      <c r="P1" s="122" t="inlineStr">
        <is>
          <t>零搭售
比例</t>
        </is>
      </c>
      <c r="Q1" s="123" t="inlineStr">
        <is>
          <t>Watch</t>
        </is>
      </c>
      <c r="R1" s="123" t="inlineStr">
        <is>
          <t>配件</t>
        </is>
      </c>
      <c r="S1" s="123" t="inlineStr">
        <is>
          <t>搭售率</t>
        </is>
      </c>
      <c r="T1" s="123" t="inlineStr">
        <is>
          <t>Watch
零搭售</t>
        </is>
      </c>
      <c r="U1" s="124" t="inlineStr">
        <is>
          <t>零搭售
比例</t>
        </is>
      </c>
      <c r="V1" s="125" t="inlineStr">
        <is>
          <t>AirPods</t>
        </is>
      </c>
      <c r="W1" s="125" t="inlineStr">
        <is>
          <t>配件</t>
        </is>
      </c>
      <c r="X1" s="125" t="inlineStr">
        <is>
          <t>搭售率</t>
        </is>
      </c>
      <c r="Y1" s="125" t="inlineStr">
        <is>
          <t>AirPods
零搭售</t>
        </is>
      </c>
      <c r="Z1" s="126" t="inlineStr">
        <is>
          <t>零搭售
比例</t>
        </is>
      </c>
      <c r="AA1" s="127" t="inlineStr">
        <is>
          <t>3PP
搭售率</t>
        </is>
      </c>
    </row>
    <row r="2" ht="38" customHeight="1" s="106">
      <c r="A2" s="128" t="inlineStr">
        <is>
          <t>Sam</t>
        </is>
      </c>
      <c r="B2" s="129" t="n">
        <v>0</v>
      </c>
      <c r="C2" s="129" t="n">
        <v>0</v>
      </c>
      <c r="D2" s="130" t="n"/>
      <c r="E2" s="129" t="n">
        <v>0</v>
      </c>
      <c r="F2" s="131" t="n"/>
      <c r="G2" s="129" t="n">
        <v>0</v>
      </c>
      <c r="H2" s="129" t="n">
        <v>0</v>
      </c>
      <c r="I2" s="130" t="n"/>
      <c r="J2" s="129" t="n">
        <v>0</v>
      </c>
      <c r="K2" s="131" t="n"/>
      <c r="L2" s="129" t="n">
        <v>0</v>
      </c>
      <c r="M2" s="129" t="n">
        <v>0</v>
      </c>
      <c r="N2" s="130" t="n"/>
      <c r="O2" s="129" t="n">
        <v>0</v>
      </c>
      <c r="P2" s="131" t="n"/>
      <c r="Q2" s="129" t="n">
        <v>0</v>
      </c>
      <c r="R2" s="129" t="n">
        <v>0</v>
      </c>
      <c r="S2" s="130" t="n"/>
      <c r="T2" s="129" t="n">
        <v>0</v>
      </c>
      <c r="U2" s="131" t="n"/>
      <c r="V2" s="129" t="n">
        <v>0</v>
      </c>
      <c r="W2" s="129" t="n">
        <v>0</v>
      </c>
      <c r="X2" s="130" t="n"/>
      <c r="Y2" s="129" t="n">
        <v>0</v>
      </c>
      <c r="Z2" s="131" t="n"/>
      <c r="AA2" s="132" t="n"/>
    </row>
    <row r="3" ht="38" customHeight="1" s="106">
      <c r="A3" s="128" t="inlineStr">
        <is>
          <t>Dean</t>
        </is>
      </c>
      <c r="B3" s="133" t="n">
        <v>1</v>
      </c>
      <c r="C3" s="133" t="n">
        <v>8</v>
      </c>
      <c r="D3" s="134" t="n">
        <v>8</v>
      </c>
      <c r="E3" s="133" t="n">
        <v>1</v>
      </c>
      <c r="F3" s="135" t="n">
        <v>0.5</v>
      </c>
      <c r="G3" s="133" t="n">
        <v>1</v>
      </c>
      <c r="H3" s="133" t="n">
        <v>4</v>
      </c>
      <c r="I3" s="134" t="n">
        <v>4</v>
      </c>
      <c r="J3" s="133" t="n">
        <v>2</v>
      </c>
      <c r="K3" s="135" t="n">
        <v>0.67</v>
      </c>
      <c r="L3" s="133" t="n">
        <v>3</v>
      </c>
      <c r="M3" s="133" t="n">
        <v>7</v>
      </c>
      <c r="N3" s="134" t="n">
        <v>2.33</v>
      </c>
      <c r="O3" s="133" t="n">
        <v>0</v>
      </c>
      <c r="P3" s="135" t="n">
        <v>0</v>
      </c>
      <c r="Q3" s="133" t="n">
        <v>2</v>
      </c>
      <c r="R3" s="133" t="n">
        <v>6</v>
      </c>
      <c r="S3" s="134" t="n">
        <v>3</v>
      </c>
      <c r="T3" s="133" t="n">
        <v>1</v>
      </c>
      <c r="U3" s="135" t="n">
        <v>0.33</v>
      </c>
      <c r="V3" s="133" t="n">
        <v>2</v>
      </c>
      <c r="W3" s="133" t="n">
        <v>3</v>
      </c>
      <c r="X3" s="134" t="n">
        <v>1.5</v>
      </c>
      <c r="Y3" s="133" t="n">
        <v>1</v>
      </c>
      <c r="Z3" s="135" t="n">
        <v>0.33</v>
      </c>
      <c r="AA3" s="136" t="n">
        <v>3.11</v>
      </c>
    </row>
    <row r="4" ht="38" customHeight="1" s="106">
      <c r="A4" s="128" t="inlineStr">
        <is>
          <t>Jun</t>
        </is>
      </c>
      <c r="B4" s="129" t="n">
        <v>0</v>
      </c>
      <c r="C4" s="129" t="n">
        <v>0</v>
      </c>
      <c r="D4" s="130" t="n"/>
      <c r="E4" s="129" t="n">
        <v>0</v>
      </c>
      <c r="F4" s="131" t="n"/>
      <c r="G4" s="129" t="n">
        <v>6</v>
      </c>
      <c r="H4" s="129" t="n">
        <v>20</v>
      </c>
      <c r="I4" s="137" t="n">
        <v>3.33</v>
      </c>
      <c r="J4" s="129" t="n">
        <v>0</v>
      </c>
      <c r="K4" s="138" t="n">
        <v>0</v>
      </c>
      <c r="L4" s="129" t="n">
        <v>0</v>
      </c>
      <c r="M4" s="129" t="n">
        <v>0</v>
      </c>
      <c r="N4" s="130" t="n"/>
      <c r="O4" s="129" t="n">
        <v>0</v>
      </c>
      <c r="P4" s="131" t="n"/>
      <c r="Q4" s="129" t="n">
        <v>0</v>
      </c>
      <c r="R4" s="129" t="n">
        <v>1</v>
      </c>
      <c r="S4" s="130" t="n"/>
      <c r="T4" s="129" t="n">
        <v>0</v>
      </c>
      <c r="U4" s="131" t="n"/>
      <c r="V4" s="129" t="n">
        <v>0</v>
      </c>
      <c r="W4" s="129" t="n">
        <v>0</v>
      </c>
      <c r="X4" s="130" t="n"/>
      <c r="Y4" s="129" t="n">
        <v>0</v>
      </c>
      <c r="Z4" s="131" t="n"/>
      <c r="AA4" s="139" t="n">
        <v>3.5</v>
      </c>
    </row>
    <row r="5" ht="38" customHeight="1" s="106">
      <c r="A5" s="128" t="inlineStr">
        <is>
          <t>Nana</t>
        </is>
      </c>
      <c r="B5" s="133" t="n">
        <v>1</v>
      </c>
      <c r="C5" s="133" t="n">
        <v>4</v>
      </c>
      <c r="D5" s="134" t="n">
        <v>4</v>
      </c>
      <c r="E5" s="133" t="n">
        <v>0</v>
      </c>
      <c r="F5" s="135" t="n">
        <v>0</v>
      </c>
      <c r="G5" s="133" t="n">
        <v>2</v>
      </c>
      <c r="H5" s="133" t="n">
        <v>9</v>
      </c>
      <c r="I5" s="134" t="n">
        <v>4.5</v>
      </c>
      <c r="J5" s="133" t="n">
        <v>2</v>
      </c>
      <c r="K5" s="135" t="n">
        <v>0.5</v>
      </c>
      <c r="L5" s="133" t="n">
        <v>1</v>
      </c>
      <c r="M5" s="133" t="n">
        <v>1</v>
      </c>
      <c r="N5" s="134" t="n">
        <v>1</v>
      </c>
      <c r="O5" s="133" t="n">
        <v>0</v>
      </c>
      <c r="P5" s="135" t="n">
        <v>0</v>
      </c>
      <c r="Q5" s="133" t="n">
        <v>0</v>
      </c>
      <c r="R5" s="133" t="n">
        <v>0</v>
      </c>
      <c r="S5" s="140" t="n"/>
      <c r="T5" s="133" t="n">
        <v>2</v>
      </c>
      <c r="U5" s="135" t="n">
        <v>1</v>
      </c>
      <c r="V5" s="133" t="n">
        <v>1</v>
      </c>
      <c r="W5" s="133" t="n">
        <v>2</v>
      </c>
      <c r="X5" s="134" t="n">
        <v>2</v>
      </c>
      <c r="Y5" s="133" t="n">
        <v>5</v>
      </c>
      <c r="Z5" s="135" t="n">
        <v>0.83</v>
      </c>
      <c r="AA5" s="136" t="n">
        <v>3.2</v>
      </c>
    </row>
    <row r="6" ht="38" customHeight="1" s="106">
      <c r="A6" s="128" t="inlineStr">
        <is>
          <t>Zoe</t>
        </is>
      </c>
      <c r="B6" s="129" t="n">
        <v>0</v>
      </c>
      <c r="C6" s="129" t="n">
        <v>0</v>
      </c>
      <c r="D6" s="130" t="n"/>
      <c r="E6" s="129" t="n">
        <v>0</v>
      </c>
      <c r="F6" s="131" t="n"/>
      <c r="G6" s="129" t="n">
        <v>3</v>
      </c>
      <c r="H6" s="129" t="n">
        <v>9</v>
      </c>
      <c r="I6" s="137" t="n">
        <v>3</v>
      </c>
      <c r="J6" s="129" t="n">
        <v>2</v>
      </c>
      <c r="K6" s="138" t="n">
        <v>0.4</v>
      </c>
      <c r="L6" s="129" t="n">
        <v>3</v>
      </c>
      <c r="M6" s="129" t="n">
        <v>5</v>
      </c>
      <c r="N6" s="137" t="n">
        <v>1.67</v>
      </c>
      <c r="O6" s="129" t="n">
        <v>0</v>
      </c>
      <c r="P6" s="138" t="n">
        <v>0</v>
      </c>
      <c r="Q6" s="129" t="n">
        <v>2</v>
      </c>
      <c r="R6" s="129" t="n">
        <v>2</v>
      </c>
      <c r="S6" s="137" t="n">
        <v>1</v>
      </c>
      <c r="T6" s="129" t="n">
        <v>1</v>
      </c>
      <c r="U6" s="138" t="n">
        <v>0.33</v>
      </c>
      <c r="V6" s="129" t="n">
        <v>2</v>
      </c>
      <c r="W6" s="129" t="n">
        <v>4</v>
      </c>
      <c r="X6" s="137" t="n">
        <v>2</v>
      </c>
      <c r="Y6" s="129" t="n">
        <v>5</v>
      </c>
      <c r="Z6" s="138" t="n">
        <v>0.71</v>
      </c>
      <c r="AA6" s="139" t="n">
        <v>2</v>
      </c>
    </row>
    <row r="7" ht="38" customHeight="1" s="106">
      <c r="A7" s="128" t="inlineStr">
        <is>
          <t>Winter</t>
        </is>
      </c>
      <c r="B7" s="133" t="n">
        <v>1</v>
      </c>
      <c r="C7" s="133" t="n">
        <v>2</v>
      </c>
      <c r="D7" s="134" t="n">
        <v>2</v>
      </c>
      <c r="E7" s="133" t="n">
        <v>1</v>
      </c>
      <c r="F7" s="135" t="n">
        <v>0.5</v>
      </c>
      <c r="G7" s="133" t="n">
        <v>4</v>
      </c>
      <c r="H7" s="133" t="n">
        <v>10</v>
      </c>
      <c r="I7" s="134" t="n">
        <v>2.5</v>
      </c>
      <c r="J7" s="133" t="n">
        <v>0</v>
      </c>
      <c r="K7" s="135" t="n">
        <v>0</v>
      </c>
      <c r="L7" s="133" t="n">
        <v>2</v>
      </c>
      <c r="M7" s="133" t="n">
        <v>4</v>
      </c>
      <c r="N7" s="134" t="n">
        <v>2</v>
      </c>
      <c r="O7" s="133" t="n">
        <v>2</v>
      </c>
      <c r="P7" s="135" t="n">
        <v>0.5</v>
      </c>
      <c r="Q7" s="133" t="n">
        <v>1</v>
      </c>
      <c r="R7" s="133" t="n">
        <v>1</v>
      </c>
      <c r="S7" s="134" t="n">
        <v>1</v>
      </c>
      <c r="T7" s="133" t="n">
        <v>0</v>
      </c>
      <c r="U7" s="135" t="n">
        <v>0</v>
      </c>
      <c r="V7" s="133" t="n">
        <v>1</v>
      </c>
      <c r="W7" s="133" t="n">
        <v>2</v>
      </c>
      <c r="X7" s="134" t="n">
        <v>2</v>
      </c>
      <c r="Y7" s="133" t="n">
        <v>0</v>
      </c>
      <c r="Z7" s="135" t="n">
        <v>0</v>
      </c>
      <c r="AA7" s="136" t="n">
        <v>2.11</v>
      </c>
    </row>
    <row r="8" ht="38" customHeight="1" s="106">
      <c r="A8" s="128" t="inlineStr">
        <is>
          <t>Tanya</t>
        </is>
      </c>
      <c r="B8" s="129" t="n">
        <v>0</v>
      </c>
      <c r="C8" s="129" t="n">
        <v>0</v>
      </c>
      <c r="D8" s="130" t="n"/>
      <c r="E8" s="129" t="n">
        <v>0</v>
      </c>
      <c r="F8" s="131" t="n"/>
      <c r="G8" s="129" t="n">
        <v>4</v>
      </c>
      <c r="H8" s="129" t="n">
        <v>24</v>
      </c>
      <c r="I8" s="137" t="n">
        <v>6</v>
      </c>
      <c r="J8" s="129" t="n">
        <v>1</v>
      </c>
      <c r="K8" s="138" t="n">
        <v>0.2</v>
      </c>
      <c r="L8" s="129" t="n">
        <v>4</v>
      </c>
      <c r="M8" s="129" t="n">
        <v>10</v>
      </c>
      <c r="N8" s="137" t="n">
        <v>2.5</v>
      </c>
      <c r="O8" s="129" t="n">
        <v>0</v>
      </c>
      <c r="P8" s="138" t="n">
        <v>0</v>
      </c>
      <c r="Q8" s="129" t="n">
        <v>1</v>
      </c>
      <c r="R8" s="129" t="n">
        <v>3</v>
      </c>
      <c r="S8" s="137" t="n">
        <v>3</v>
      </c>
      <c r="T8" s="129" t="n">
        <v>0</v>
      </c>
      <c r="U8" s="138" t="n">
        <v>0</v>
      </c>
      <c r="V8" s="129" t="n">
        <v>0</v>
      </c>
      <c r="W8" s="129" t="n">
        <v>0</v>
      </c>
      <c r="X8" s="130" t="n"/>
      <c r="Y8" s="129" t="n">
        <v>2</v>
      </c>
      <c r="Z8" s="138" t="n">
        <v>1</v>
      </c>
      <c r="AA8" s="139" t="n">
        <v>4.11</v>
      </c>
    </row>
    <row r="9" ht="38" customHeight="1" s="106">
      <c r="A9" s="141" t="inlineStr">
        <is>
          <t>Total</t>
        </is>
      </c>
      <c r="B9" s="142" t="n">
        <v>3</v>
      </c>
      <c r="C9" s="142" t="n">
        <v>14</v>
      </c>
      <c r="D9" s="143" t="n">
        <v>4.67</v>
      </c>
      <c r="E9" s="142" t="n">
        <v>2</v>
      </c>
      <c r="F9" s="144" t="n">
        <v>0.4</v>
      </c>
      <c r="G9" s="142" t="n">
        <v>20</v>
      </c>
      <c r="H9" s="142" t="n">
        <v>76</v>
      </c>
      <c r="I9" s="143" t="n">
        <v>3.8</v>
      </c>
      <c r="J9" s="142" t="n">
        <v>7</v>
      </c>
      <c r="K9" s="144" t="n">
        <v>0.26</v>
      </c>
      <c r="L9" s="142" t="n">
        <v>13</v>
      </c>
      <c r="M9" s="142" t="n">
        <v>27</v>
      </c>
      <c r="N9" s="143" t="n">
        <v>2.08</v>
      </c>
      <c r="O9" s="142" t="n">
        <v>2</v>
      </c>
      <c r="P9" s="144" t="n">
        <v>0.13</v>
      </c>
      <c r="Q9" s="142" t="n">
        <v>6</v>
      </c>
      <c r="R9" s="142" t="n">
        <v>13</v>
      </c>
      <c r="S9" s="143" t="n">
        <v>2.17</v>
      </c>
      <c r="T9" s="142" t="n">
        <v>4</v>
      </c>
      <c r="U9" s="144" t="n">
        <v>0.4</v>
      </c>
      <c r="V9" s="142" t="n">
        <v>6</v>
      </c>
      <c r="W9" s="142" t="n">
        <v>11</v>
      </c>
      <c r="X9" s="143" t="n">
        <v>1.83</v>
      </c>
      <c r="Y9" s="142" t="n">
        <v>13</v>
      </c>
      <c r="Z9" s="144" t="n">
        <v>0.68</v>
      </c>
      <c r="AA9" s="145" t="n">
        <v>2.94</v>
      </c>
    </row>
    <row r="10" ht="38" customHeight="1" s="106">
      <c r="A10" s="146" t="inlineStr">
        <is>
          <t>Ｗ9</t>
        </is>
      </c>
      <c r="B10" s="147" t="n">
        <v>6</v>
      </c>
      <c r="C10" s="147" t="n">
        <v>22</v>
      </c>
      <c r="D10" s="148" t="n">
        <v>3.67</v>
      </c>
      <c r="E10" s="147" t="n">
        <v>2</v>
      </c>
      <c r="F10" s="149" t="n">
        <v>0.25</v>
      </c>
      <c r="G10" s="147" t="n">
        <v>14</v>
      </c>
      <c r="H10" s="147" t="n">
        <v>40</v>
      </c>
      <c r="I10" s="148" t="n">
        <v>2.86</v>
      </c>
      <c r="J10" s="147" t="n">
        <v>5</v>
      </c>
      <c r="K10" s="149" t="n">
        <v>0.26</v>
      </c>
      <c r="L10" s="147" t="n">
        <v>10</v>
      </c>
      <c r="M10" s="147" t="n">
        <v>24</v>
      </c>
      <c r="N10" s="148" t="n">
        <v>2.4</v>
      </c>
      <c r="O10" s="147" t="n">
        <v>0</v>
      </c>
      <c r="P10" s="149" t="n">
        <v>0</v>
      </c>
      <c r="Q10" s="147" t="n">
        <v>10</v>
      </c>
      <c r="R10" s="147" t="n">
        <v>19</v>
      </c>
      <c r="S10" s="148" t="n">
        <v>1.9</v>
      </c>
      <c r="T10" s="147" t="n">
        <v>7</v>
      </c>
      <c r="U10" s="149" t="n">
        <v>0.41</v>
      </c>
      <c r="V10" s="147" t="n">
        <v>11</v>
      </c>
      <c r="W10" s="147" t="n">
        <v>22</v>
      </c>
      <c r="X10" s="148" t="n">
        <v>2</v>
      </c>
      <c r="Y10" s="147" t="n">
        <v>16</v>
      </c>
      <c r="Z10" s="149" t="n">
        <v>0.59</v>
      </c>
      <c r="AA10" s="150" t="n">
        <v>2.49</v>
      </c>
    </row>
    <row r="11" ht="38" customHeight="1" s="106">
      <c r="A11" s="146" t="inlineStr">
        <is>
          <t>W8</t>
        </is>
      </c>
      <c r="B11" s="151" t="n">
        <v>8</v>
      </c>
      <c r="C11" s="151" t="n">
        <v>18</v>
      </c>
      <c r="D11" s="152" t="n">
        <v>2.25</v>
      </c>
      <c r="E11" s="151" t="n">
        <v>7</v>
      </c>
      <c r="F11" s="153" t="n">
        <v>0.47</v>
      </c>
      <c r="G11" s="151" t="n">
        <v>14</v>
      </c>
      <c r="H11" s="151" t="n">
        <v>54</v>
      </c>
      <c r="I11" s="152" t="n">
        <v>3.86</v>
      </c>
      <c r="J11" s="151" t="n">
        <v>8</v>
      </c>
      <c r="K11" s="153" t="n">
        <v>0.36</v>
      </c>
      <c r="L11" s="151" t="n">
        <v>18</v>
      </c>
      <c r="M11" s="151" t="n">
        <v>40</v>
      </c>
      <c r="N11" s="152" t="n">
        <v>2.22</v>
      </c>
      <c r="O11" s="151" t="n">
        <v>3</v>
      </c>
      <c r="P11" s="153" t="n">
        <v>0.14</v>
      </c>
      <c r="Q11" s="151" t="n">
        <v>6</v>
      </c>
      <c r="R11" s="151" t="n">
        <v>14</v>
      </c>
      <c r="S11" s="152" t="n">
        <v>2.33</v>
      </c>
      <c r="T11" s="151" t="n">
        <v>5</v>
      </c>
      <c r="U11" s="153" t="n">
        <v>0.45</v>
      </c>
      <c r="V11" s="151" t="n">
        <v>12</v>
      </c>
      <c r="W11" s="151" t="n">
        <v>26</v>
      </c>
      <c r="X11" s="152" t="n">
        <v>2.17</v>
      </c>
      <c r="Y11" s="151" t="n">
        <v>9</v>
      </c>
      <c r="Z11" s="153" t="n">
        <v>0.43</v>
      </c>
      <c r="AA11" s="154" t="n">
        <v>2.62</v>
      </c>
    </row>
    <row r="12" ht="38" customHeight="1" s="106">
      <c r="A12" s="146" t="inlineStr">
        <is>
          <t>W7</t>
        </is>
      </c>
      <c r="B12" s="147" t="n">
        <v>1</v>
      </c>
      <c r="C12" s="147" t="n">
        <v>1</v>
      </c>
      <c r="D12" s="148" t="n">
        <v>1</v>
      </c>
      <c r="E12" s="147" t="n">
        <v>2</v>
      </c>
      <c r="F12" s="149" t="n">
        <v>0.67</v>
      </c>
      <c r="G12" s="147" t="n">
        <v>17</v>
      </c>
      <c r="H12" s="147" t="n">
        <v>62</v>
      </c>
      <c r="I12" s="148" t="n">
        <v>3.65</v>
      </c>
      <c r="J12" s="147" t="n">
        <v>14</v>
      </c>
      <c r="K12" s="149" t="n">
        <v>0.45</v>
      </c>
      <c r="L12" s="147" t="n">
        <v>16</v>
      </c>
      <c r="M12" s="147" t="n">
        <v>48</v>
      </c>
      <c r="N12" s="148" t="n">
        <v>3</v>
      </c>
      <c r="O12" s="147" t="n">
        <v>3</v>
      </c>
      <c r="P12" s="149" t="n">
        <v>0.16</v>
      </c>
      <c r="Q12" s="147" t="n">
        <v>9</v>
      </c>
      <c r="R12" s="147" t="n">
        <v>20</v>
      </c>
      <c r="S12" s="148" t="n">
        <v>2.22</v>
      </c>
      <c r="T12" s="147" t="n">
        <v>2</v>
      </c>
      <c r="U12" s="149" t="n">
        <v>0.18</v>
      </c>
      <c r="V12" s="147" t="n">
        <v>11</v>
      </c>
      <c r="W12" s="147" t="n">
        <v>27</v>
      </c>
      <c r="X12" s="148" t="n">
        <v>2.45</v>
      </c>
      <c r="Y12" s="147" t="n">
        <v>3</v>
      </c>
      <c r="Z12" s="149" t="n">
        <v>0.21</v>
      </c>
      <c r="AA12" s="150" t="n">
        <v>2.93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A12"/>
  <sheetViews>
    <sheetView showGridLines="0" tabSelected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K29" sqref="K29"/>
    </sheetView>
  </sheetViews>
  <sheetFormatPr baseColWidth="10" defaultRowHeight="15"/>
  <cols>
    <col width="13" customWidth="1" style="106" min="1" max="1"/>
    <col width="10.5" customWidth="1" style="106" min="2" max="2"/>
    <col width="10.5" customWidth="1" style="106" min="3" max="3"/>
    <col width="10.5" customWidth="1" style="106" min="4" max="4"/>
    <col width="10.5" customWidth="1" style="106" min="5" max="5"/>
    <col width="10.5" customWidth="1" style="106" min="6" max="6"/>
    <col width="10.5" customWidth="1" style="106" min="7" max="7"/>
    <col width="10.5" customWidth="1" style="106" min="8" max="8"/>
    <col width="10.5" customWidth="1" style="106" min="9" max="9"/>
    <col width="10.5" customWidth="1" style="106" min="10" max="10"/>
    <col width="10.5" customWidth="1" style="106" min="11" max="11"/>
    <col width="10.5" customWidth="1" style="106" min="12" max="12"/>
    <col width="10.5" customWidth="1" style="106" min="13" max="13"/>
    <col width="10.5" customWidth="1" style="106" min="14" max="14"/>
    <col width="10.5" customWidth="1" style="106" min="15" max="15"/>
    <col width="10.5" customWidth="1" style="106" min="16" max="16"/>
    <col width="10.5" customWidth="1" style="106" min="17" max="17"/>
    <col width="10.5" customWidth="1" style="106" min="18" max="18"/>
    <col width="10.5" customWidth="1" style="106" min="19" max="19"/>
    <col width="10.5" customWidth="1" style="106" min="20" max="20"/>
    <col width="10.5" customWidth="1" style="106" min="21" max="21"/>
    <col width="10.5" customWidth="1" style="106" min="22" max="22"/>
    <col width="10.5" customWidth="1" style="106" min="23" max="23"/>
    <col width="10.5" customWidth="1" style="106" min="24" max="24"/>
    <col width="10.5" customWidth="1" style="106" min="25" max="25"/>
    <col width="10.5" customWidth="1" style="106" min="26" max="26"/>
    <col width="10.5" customWidth="1" style="106" min="27" max="27"/>
  </cols>
  <sheetData>
    <row r="1" ht="32" customHeight="1" s="106">
      <c r="A1" s="116" t="inlineStr">
        <is>
          <t>士林</t>
        </is>
      </c>
      <c r="B1" s="117" t="inlineStr">
        <is>
          <t>CPU</t>
        </is>
      </c>
      <c r="C1" s="117" t="inlineStr">
        <is>
          <t>配件</t>
        </is>
      </c>
      <c r="D1" s="117" t="inlineStr">
        <is>
          <t>搭售率</t>
        </is>
      </c>
      <c r="E1" s="117" t="inlineStr">
        <is>
          <t>CPU
零搭售</t>
        </is>
      </c>
      <c r="F1" s="118" t="inlineStr">
        <is>
          <t>零搭售
比例</t>
        </is>
      </c>
      <c r="G1" s="119" t="inlineStr">
        <is>
          <t>iPhone</t>
        </is>
      </c>
      <c r="H1" s="119" t="inlineStr">
        <is>
          <t>配件</t>
        </is>
      </c>
      <c r="I1" s="119" t="inlineStr">
        <is>
          <t>搭售率</t>
        </is>
      </c>
      <c r="J1" s="119" t="inlineStr">
        <is>
          <t>iPhone
零搭售</t>
        </is>
      </c>
      <c r="K1" s="120" t="inlineStr">
        <is>
          <t>零搭售
比例</t>
        </is>
      </c>
      <c r="L1" s="121" t="inlineStr">
        <is>
          <t>iPad</t>
        </is>
      </c>
      <c r="M1" s="121" t="inlineStr">
        <is>
          <t>配件</t>
        </is>
      </c>
      <c r="N1" s="121" t="inlineStr">
        <is>
          <t>搭售率</t>
        </is>
      </c>
      <c r="O1" s="121" t="inlineStr">
        <is>
          <t>iPad
零搭售</t>
        </is>
      </c>
      <c r="P1" s="122" t="inlineStr">
        <is>
          <t>零搭售
比例</t>
        </is>
      </c>
      <c r="Q1" s="123" t="inlineStr">
        <is>
          <t>Watch</t>
        </is>
      </c>
      <c r="R1" s="123" t="inlineStr">
        <is>
          <t>配件</t>
        </is>
      </c>
      <c r="S1" s="123" t="inlineStr">
        <is>
          <t>搭售率</t>
        </is>
      </c>
      <c r="T1" s="123" t="inlineStr">
        <is>
          <t>Watch
零搭售</t>
        </is>
      </c>
      <c r="U1" s="124" t="inlineStr">
        <is>
          <t>零搭售
比例</t>
        </is>
      </c>
      <c r="V1" s="125" t="inlineStr">
        <is>
          <t>AirPods</t>
        </is>
      </c>
      <c r="W1" s="125" t="inlineStr">
        <is>
          <t>配件</t>
        </is>
      </c>
      <c r="X1" s="125" t="inlineStr">
        <is>
          <t>搭售率</t>
        </is>
      </c>
      <c r="Y1" s="125" t="inlineStr">
        <is>
          <t>AirPods
零搭售</t>
        </is>
      </c>
      <c r="Z1" s="126" t="inlineStr">
        <is>
          <t>零搭售
比例</t>
        </is>
      </c>
      <c r="AA1" s="127" t="inlineStr">
        <is>
          <t>3PP
搭售率</t>
        </is>
      </c>
    </row>
    <row r="2" ht="38" customHeight="1" s="106">
      <c r="A2" s="128" t="inlineStr">
        <is>
          <t>Sam</t>
        </is>
      </c>
      <c r="B2" s="129" t="n">
        <v>0</v>
      </c>
      <c r="C2" s="129" t="n">
        <v>0</v>
      </c>
      <c r="D2" s="130" t="n"/>
      <c r="E2" s="129" t="n">
        <v>0</v>
      </c>
      <c r="F2" s="131" t="n"/>
      <c r="G2" s="129" t="n">
        <v>0</v>
      </c>
      <c r="H2" s="129" t="n">
        <v>0</v>
      </c>
      <c r="I2" s="130" t="n"/>
      <c r="J2" s="129" t="n">
        <v>0</v>
      </c>
      <c r="K2" s="131" t="n"/>
      <c r="L2" s="129" t="n">
        <v>0</v>
      </c>
      <c r="M2" s="129" t="n">
        <v>0</v>
      </c>
      <c r="N2" s="130" t="n"/>
      <c r="O2" s="129" t="n">
        <v>0</v>
      </c>
      <c r="P2" s="131" t="n"/>
      <c r="Q2" s="129" t="n">
        <v>0</v>
      </c>
      <c r="R2" s="129" t="n">
        <v>0</v>
      </c>
      <c r="S2" s="130" t="n"/>
      <c r="T2" s="129" t="n">
        <v>0</v>
      </c>
      <c r="U2" s="131" t="n"/>
      <c r="V2" s="129" t="n">
        <v>0</v>
      </c>
      <c r="W2" s="129" t="n">
        <v>0</v>
      </c>
      <c r="X2" s="130" t="n"/>
      <c r="Y2" s="129" t="n">
        <v>0</v>
      </c>
      <c r="Z2" s="131" t="n"/>
      <c r="AA2" s="132" t="n"/>
    </row>
    <row r="3" ht="38" customHeight="1" s="106">
      <c r="A3" s="128" t="inlineStr">
        <is>
          <t>Dean</t>
        </is>
      </c>
      <c r="B3" s="133" t="n">
        <v>0</v>
      </c>
      <c r="C3" s="133" t="n">
        <v>0</v>
      </c>
      <c r="D3" s="140" t="n"/>
      <c r="E3" s="133" t="n">
        <v>0</v>
      </c>
      <c r="F3" s="155" t="n"/>
      <c r="G3" s="133" t="n">
        <v>1</v>
      </c>
      <c r="H3" s="133" t="n">
        <v>4</v>
      </c>
      <c r="I3" s="134" t="n">
        <v>4</v>
      </c>
      <c r="J3" s="133" t="n">
        <v>1</v>
      </c>
      <c r="K3" s="135" t="n">
        <v>0.5</v>
      </c>
      <c r="L3" s="133" t="n">
        <v>3</v>
      </c>
      <c r="M3" s="133" t="n">
        <v>7</v>
      </c>
      <c r="N3" s="134" t="n">
        <v>2.33</v>
      </c>
      <c r="O3" s="133" t="n">
        <v>0</v>
      </c>
      <c r="P3" s="135" t="n">
        <v>0</v>
      </c>
      <c r="Q3" s="133" t="n">
        <v>2</v>
      </c>
      <c r="R3" s="133" t="n">
        <v>6</v>
      </c>
      <c r="S3" s="134" t="n">
        <v>3</v>
      </c>
      <c r="T3" s="133" t="n">
        <v>1</v>
      </c>
      <c r="U3" s="135" t="n">
        <v>0.33</v>
      </c>
      <c r="V3" s="133" t="n">
        <v>1</v>
      </c>
      <c r="W3" s="133" t="n">
        <v>2</v>
      </c>
      <c r="X3" s="134" t="n">
        <v>2</v>
      </c>
      <c r="Y3" s="133" t="n">
        <v>1</v>
      </c>
      <c r="Z3" s="135" t="n">
        <v>0.5</v>
      </c>
      <c r="AA3" s="136" t="n">
        <v>2.71</v>
      </c>
    </row>
    <row r="4" ht="38" customHeight="1" s="106">
      <c r="A4" s="128" t="inlineStr">
        <is>
          <t>Jun</t>
        </is>
      </c>
      <c r="B4" s="129" t="n">
        <v>0</v>
      </c>
      <c r="C4" s="129" t="n">
        <v>0</v>
      </c>
      <c r="D4" s="130" t="n"/>
      <c r="E4" s="129" t="n">
        <v>0</v>
      </c>
      <c r="F4" s="131" t="n"/>
      <c r="G4" s="129" t="n">
        <v>5</v>
      </c>
      <c r="H4" s="129" t="n">
        <v>16</v>
      </c>
      <c r="I4" s="137" t="n">
        <v>3.2</v>
      </c>
      <c r="J4" s="129" t="n">
        <v>0</v>
      </c>
      <c r="K4" s="138" t="n">
        <v>0</v>
      </c>
      <c r="L4" s="129" t="n">
        <v>0</v>
      </c>
      <c r="M4" s="129" t="n">
        <v>0</v>
      </c>
      <c r="N4" s="130" t="n"/>
      <c r="O4" s="129" t="n">
        <v>0</v>
      </c>
      <c r="P4" s="131" t="n"/>
      <c r="Q4" s="129" t="n">
        <v>0</v>
      </c>
      <c r="R4" s="129" t="n">
        <v>1</v>
      </c>
      <c r="S4" s="130" t="n"/>
      <c r="T4" s="129" t="n">
        <v>0</v>
      </c>
      <c r="U4" s="131" t="n"/>
      <c r="V4" s="129" t="n">
        <v>0</v>
      </c>
      <c r="W4" s="129" t="n">
        <v>0</v>
      </c>
      <c r="X4" s="130" t="n"/>
      <c r="Y4" s="129" t="n">
        <v>0</v>
      </c>
      <c r="Z4" s="131" t="n"/>
      <c r="AA4" s="139" t="n">
        <v>3.4</v>
      </c>
    </row>
    <row r="5" ht="38" customHeight="1" s="106">
      <c r="A5" s="128" t="inlineStr">
        <is>
          <t>Nana</t>
        </is>
      </c>
      <c r="B5" s="133" t="n">
        <v>1</v>
      </c>
      <c r="C5" s="133" t="n">
        <v>4</v>
      </c>
      <c r="D5" s="134" t="n">
        <v>4</v>
      </c>
      <c r="E5" s="133" t="n">
        <v>0</v>
      </c>
      <c r="F5" s="135" t="n">
        <v>0</v>
      </c>
      <c r="G5" s="133" t="n">
        <v>2</v>
      </c>
      <c r="H5" s="133" t="n">
        <v>9</v>
      </c>
      <c r="I5" s="134" t="n">
        <v>4.5</v>
      </c>
      <c r="J5" s="133" t="n">
        <v>2</v>
      </c>
      <c r="K5" s="135" t="n">
        <v>0.5</v>
      </c>
      <c r="L5" s="133" t="n">
        <v>1</v>
      </c>
      <c r="M5" s="133" t="n">
        <v>1</v>
      </c>
      <c r="N5" s="134" t="n">
        <v>1</v>
      </c>
      <c r="O5" s="133" t="n">
        <v>0</v>
      </c>
      <c r="P5" s="135" t="n">
        <v>0</v>
      </c>
      <c r="Q5" s="133" t="n">
        <v>0</v>
      </c>
      <c r="R5" s="133" t="n">
        <v>0</v>
      </c>
      <c r="S5" s="140" t="n"/>
      <c r="T5" s="133" t="n">
        <v>2</v>
      </c>
      <c r="U5" s="135" t="n">
        <v>1</v>
      </c>
      <c r="V5" s="133" t="n">
        <v>1</v>
      </c>
      <c r="W5" s="133" t="n">
        <v>2</v>
      </c>
      <c r="X5" s="134" t="n">
        <v>2</v>
      </c>
      <c r="Y5" s="133" t="n">
        <v>5</v>
      </c>
      <c r="Z5" s="135" t="n">
        <v>0.83</v>
      </c>
      <c r="AA5" s="136" t="n">
        <v>3.2</v>
      </c>
    </row>
    <row r="6" ht="38" customHeight="1" s="106">
      <c r="A6" s="128" t="inlineStr">
        <is>
          <t>Zoe</t>
        </is>
      </c>
      <c r="B6" s="129" t="n">
        <v>0</v>
      </c>
      <c r="C6" s="129" t="n">
        <v>0</v>
      </c>
      <c r="D6" s="130" t="n"/>
      <c r="E6" s="129" t="n">
        <v>0</v>
      </c>
      <c r="F6" s="131" t="n"/>
      <c r="G6" s="129" t="n">
        <v>3</v>
      </c>
      <c r="H6" s="129" t="n">
        <v>9</v>
      </c>
      <c r="I6" s="137" t="n">
        <v>3</v>
      </c>
      <c r="J6" s="129" t="n">
        <v>2</v>
      </c>
      <c r="K6" s="138" t="n">
        <v>0.4</v>
      </c>
      <c r="L6" s="129" t="n">
        <v>2</v>
      </c>
      <c r="M6" s="129" t="n">
        <v>4</v>
      </c>
      <c r="N6" s="137" t="n">
        <v>2</v>
      </c>
      <c r="O6" s="129" t="n">
        <v>0</v>
      </c>
      <c r="P6" s="138" t="n">
        <v>0</v>
      </c>
      <c r="Q6" s="129" t="n">
        <v>2</v>
      </c>
      <c r="R6" s="129" t="n">
        <v>2</v>
      </c>
      <c r="S6" s="137" t="n">
        <v>1</v>
      </c>
      <c r="T6" s="129" t="n">
        <v>1</v>
      </c>
      <c r="U6" s="138" t="n">
        <v>0.33</v>
      </c>
      <c r="V6" s="129" t="n">
        <v>1</v>
      </c>
      <c r="W6" s="129" t="n">
        <v>1</v>
      </c>
      <c r="X6" s="137" t="n">
        <v>1</v>
      </c>
      <c r="Y6" s="129" t="n">
        <v>5</v>
      </c>
      <c r="Z6" s="138" t="n">
        <v>0.83</v>
      </c>
      <c r="AA6" s="139" t="n">
        <v>2</v>
      </c>
    </row>
    <row r="7" ht="38" customHeight="1" s="106">
      <c r="A7" s="128" t="inlineStr">
        <is>
          <t>Winter</t>
        </is>
      </c>
      <c r="B7" s="133" t="n">
        <v>1</v>
      </c>
      <c r="C7" s="133" t="n">
        <v>2</v>
      </c>
      <c r="D7" s="134" t="n">
        <v>2</v>
      </c>
      <c r="E7" s="133" t="n">
        <v>0</v>
      </c>
      <c r="F7" s="135" t="n">
        <v>0</v>
      </c>
      <c r="G7" s="133" t="n">
        <v>3</v>
      </c>
      <c r="H7" s="133" t="n">
        <v>8</v>
      </c>
      <c r="I7" s="134" t="n">
        <v>2.67</v>
      </c>
      <c r="J7" s="133" t="n">
        <v>0</v>
      </c>
      <c r="K7" s="135" t="n">
        <v>0</v>
      </c>
      <c r="L7" s="133" t="n">
        <v>2</v>
      </c>
      <c r="M7" s="133" t="n">
        <v>4</v>
      </c>
      <c r="N7" s="134" t="n">
        <v>2</v>
      </c>
      <c r="O7" s="133" t="n">
        <v>2</v>
      </c>
      <c r="P7" s="135" t="n">
        <v>0.5</v>
      </c>
      <c r="Q7" s="133" t="n">
        <v>0</v>
      </c>
      <c r="R7" s="133" t="n">
        <v>0</v>
      </c>
      <c r="S7" s="140" t="n"/>
      <c r="T7" s="133" t="n">
        <v>0</v>
      </c>
      <c r="U7" s="155" t="n"/>
      <c r="V7" s="133" t="n">
        <v>1</v>
      </c>
      <c r="W7" s="133" t="n">
        <v>2</v>
      </c>
      <c r="X7" s="134" t="n">
        <v>2</v>
      </c>
      <c r="Y7" s="133" t="n">
        <v>0</v>
      </c>
      <c r="Z7" s="135" t="n">
        <v>0</v>
      </c>
      <c r="AA7" s="136" t="n">
        <v>2.29</v>
      </c>
    </row>
    <row r="8" ht="38" customHeight="1" s="106">
      <c r="A8" s="128" t="inlineStr">
        <is>
          <t>Tanya</t>
        </is>
      </c>
      <c r="B8" s="129" t="n">
        <v>0</v>
      </c>
      <c r="C8" s="129" t="n">
        <v>0</v>
      </c>
      <c r="D8" s="130" t="n"/>
      <c r="E8" s="129" t="n">
        <v>0</v>
      </c>
      <c r="F8" s="131" t="n"/>
      <c r="G8" s="129" t="n">
        <v>3</v>
      </c>
      <c r="H8" s="129" t="n">
        <v>16</v>
      </c>
      <c r="I8" s="137" t="n">
        <v>5.33</v>
      </c>
      <c r="J8" s="129" t="n">
        <v>1</v>
      </c>
      <c r="K8" s="138" t="n">
        <v>0.25</v>
      </c>
      <c r="L8" s="129" t="n">
        <v>3</v>
      </c>
      <c r="M8" s="129" t="n">
        <v>9</v>
      </c>
      <c r="N8" s="137" t="n">
        <v>3</v>
      </c>
      <c r="O8" s="129" t="n">
        <v>0</v>
      </c>
      <c r="P8" s="138" t="n">
        <v>0</v>
      </c>
      <c r="Q8" s="129" t="n">
        <v>1</v>
      </c>
      <c r="R8" s="129" t="n">
        <v>3</v>
      </c>
      <c r="S8" s="137" t="n">
        <v>3</v>
      </c>
      <c r="T8" s="129" t="n">
        <v>0</v>
      </c>
      <c r="U8" s="138" t="n">
        <v>0</v>
      </c>
      <c r="V8" s="129" t="n">
        <v>0</v>
      </c>
      <c r="W8" s="129" t="n">
        <v>0</v>
      </c>
      <c r="X8" s="130" t="n"/>
      <c r="Y8" s="129" t="n">
        <v>1</v>
      </c>
      <c r="Z8" s="138" t="n">
        <v>1</v>
      </c>
      <c r="AA8" s="139" t="n">
        <v>4</v>
      </c>
    </row>
    <row r="9" ht="38" customHeight="1" s="106">
      <c r="A9" s="141" t="inlineStr">
        <is>
          <t>Total</t>
        </is>
      </c>
      <c r="B9" s="142" t="n">
        <v>2</v>
      </c>
      <c r="C9" s="142" t="n">
        <v>6</v>
      </c>
      <c r="D9" s="143" t="n">
        <v>3</v>
      </c>
      <c r="E9" s="142" t="n">
        <v>0</v>
      </c>
      <c r="F9" s="144" t="n">
        <v>0</v>
      </c>
      <c r="G9" s="142" t="n">
        <v>17</v>
      </c>
      <c r="H9" s="142" t="n">
        <v>62</v>
      </c>
      <c r="I9" s="143" t="n">
        <v>3.65</v>
      </c>
      <c r="J9" s="142" t="n">
        <v>6</v>
      </c>
      <c r="K9" s="144" t="n">
        <v>0.26</v>
      </c>
      <c r="L9" s="142" t="n">
        <v>11</v>
      </c>
      <c r="M9" s="142" t="n">
        <v>25</v>
      </c>
      <c r="N9" s="143" t="n">
        <v>2.27</v>
      </c>
      <c r="O9" s="142" t="n">
        <v>2</v>
      </c>
      <c r="P9" s="144" t="n">
        <v>0.15</v>
      </c>
      <c r="Q9" s="142" t="n">
        <v>5</v>
      </c>
      <c r="R9" s="142" t="n">
        <v>12</v>
      </c>
      <c r="S9" s="143" t="n">
        <v>2.4</v>
      </c>
      <c r="T9" s="142" t="n">
        <v>4</v>
      </c>
      <c r="U9" s="144" t="n">
        <v>0.44</v>
      </c>
      <c r="V9" s="142" t="n">
        <v>4</v>
      </c>
      <c r="W9" s="142" t="n">
        <v>7</v>
      </c>
      <c r="X9" s="143" t="n">
        <v>1.75</v>
      </c>
      <c r="Y9" s="142" t="n">
        <v>12</v>
      </c>
      <c r="Z9" s="144" t="n">
        <v>0.75</v>
      </c>
      <c r="AA9" s="145" t="n">
        <v>2.87</v>
      </c>
    </row>
    <row r="10" ht="38" customHeight="1" s="106">
      <c r="A10" s="146" t="inlineStr">
        <is>
          <t>5月</t>
        </is>
      </c>
      <c r="B10" s="147" t="n">
        <v>23</v>
      </c>
      <c r="C10" s="147" t="n">
        <v>75</v>
      </c>
      <c r="D10" s="148" t="n">
        <v>3.26</v>
      </c>
      <c r="E10" s="147" t="n">
        <v>11</v>
      </c>
      <c r="F10" s="149" t="n">
        <v>0.32</v>
      </c>
      <c r="G10" s="147" t="n">
        <v>81</v>
      </c>
      <c r="H10" s="147" t="n">
        <v>295</v>
      </c>
      <c r="I10" s="148" t="n">
        <v>3.64</v>
      </c>
      <c r="J10" s="147" t="n">
        <v>45</v>
      </c>
      <c r="K10" s="149" t="n">
        <v>0.36</v>
      </c>
      <c r="L10" s="147" t="n">
        <v>51</v>
      </c>
      <c r="M10" s="147" t="n">
        <v>122</v>
      </c>
      <c r="N10" s="148" t="n">
        <v>2.39</v>
      </c>
      <c r="O10" s="147" t="n">
        <v>6</v>
      </c>
      <c r="P10" s="149" t="n">
        <v>0.11</v>
      </c>
      <c r="Q10" s="147" t="n">
        <v>37</v>
      </c>
      <c r="R10" s="147" t="n">
        <v>63</v>
      </c>
      <c r="S10" s="148" t="n">
        <v>1.7</v>
      </c>
      <c r="T10" s="147" t="n">
        <v>24</v>
      </c>
      <c r="U10" s="149" t="n">
        <v>0.39</v>
      </c>
      <c r="V10" s="147" t="n">
        <v>45</v>
      </c>
      <c r="W10" s="147" t="n">
        <v>86</v>
      </c>
      <c r="X10" s="148" t="n">
        <v>1.91</v>
      </c>
      <c r="Y10" s="147" t="n">
        <v>53</v>
      </c>
      <c r="Z10" s="149" t="n">
        <v>0.54</v>
      </c>
      <c r="AA10" s="150" t="n">
        <v>2.7</v>
      </c>
    </row>
    <row r="11" ht="38" customHeight="1" s="106">
      <c r="A11" s="146" t="inlineStr">
        <is>
          <t>4月</t>
        </is>
      </c>
      <c r="B11" s="151" t="n">
        <v>14</v>
      </c>
      <c r="C11" s="151" t="n">
        <v>39</v>
      </c>
      <c r="D11" s="152" t="n">
        <v>2.79</v>
      </c>
      <c r="E11" s="151" t="n">
        <v>14</v>
      </c>
      <c r="F11" s="153" t="n">
        <v>0.5</v>
      </c>
      <c r="G11" s="151" t="n">
        <v>62</v>
      </c>
      <c r="H11" s="151" t="n">
        <v>220</v>
      </c>
      <c r="I11" s="152" t="n">
        <v>3.55</v>
      </c>
      <c r="J11" s="151" t="n">
        <v>43</v>
      </c>
      <c r="K11" s="153" t="n">
        <v>0.41</v>
      </c>
      <c r="L11" s="151" t="n">
        <v>56</v>
      </c>
      <c r="M11" s="151" t="n">
        <v>156</v>
      </c>
      <c r="N11" s="152" t="n">
        <v>2.79</v>
      </c>
      <c r="O11" s="151" t="n">
        <v>12</v>
      </c>
      <c r="P11" s="153" t="n">
        <v>0.18</v>
      </c>
      <c r="Q11" s="151" t="n">
        <v>30</v>
      </c>
      <c r="R11" s="151" t="n">
        <v>51</v>
      </c>
      <c r="S11" s="152" t="n">
        <v>1.7</v>
      </c>
      <c r="T11" s="151" t="n">
        <v>14</v>
      </c>
      <c r="U11" s="153" t="n">
        <v>0.32</v>
      </c>
      <c r="V11" s="151" t="n">
        <v>37</v>
      </c>
      <c r="W11" s="151" t="n">
        <v>74</v>
      </c>
      <c r="X11" s="152" t="n">
        <v>2</v>
      </c>
      <c r="Y11" s="151" t="n">
        <v>26</v>
      </c>
      <c r="Z11" s="153" t="n">
        <v>0.41</v>
      </c>
      <c r="AA11" s="154" t="n">
        <v>2.71</v>
      </c>
    </row>
    <row r="12" ht="38" customHeight="1" s="106">
      <c r="A12" s="146" t="inlineStr">
        <is>
          <t>3月</t>
        </is>
      </c>
      <c r="B12" s="147" t="n">
        <v>12</v>
      </c>
      <c r="C12" s="147" t="n">
        <v>36</v>
      </c>
      <c r="D12" s="148" t="n">
        <v>3</v>
      </c>
      <c r="E12" s="147" t="n">
        <v>8</v>
      </c>
      <c r="F12" s="149" t="n">
        <v>0.4</v>
      </c>
      <c r="G12" s="147" t="n">
        <v>79</v>
      </c>
      <c r="H12" s="147" t="n">
        <v>243</v>
      </c>
      <c r="I12" s="148" t="n">
        <v>3.08</v>
      </c>
      <c r="J12" s="147" t="n">
        <v>56</v>
      </c>
      <c r="K12" s="149" t="n">
        <v>0.41</v>
      </c>
      <c r="L12" s="147" t="n">
        <v>32</v>
      </c>
      <c r="M12" s="147" t="n">
        <v>87</v>
      </c>
      <c r="N12" s="148" t="n">
        <v>2.72</v>
      </c>
      <c r="O12" s="147" t="n">
        <v>9</v>
      </c>
      <c r="P12" s="149" t="n">
        <v>0.22</v>
      </c>
      <c r="Q12" s="147" t="n">
        <v>29</v>
      </c>
      <c r="R12" s="147" t="n">
        <v>45</v>
      </c>
      <c r="S12" s="148" t="n">
        <v>1.55</v>
      </c>
      <c r="T12" s="147" t="n">
        <v>7</v>
      </c>
      <c r="U12" s="149" t="n">
        <v>0.19</v>
      </c>
      <c r="V12" s="147" t="n">
        <v>48</v>
      </c>
      <c r="W12" s="147" t="n">
        <v>89</v>
      </c>
      <c r="X12" s="148" t="n">
        <v>1.85</v>
      </c>
      <c r="Y12" s="147" t="n">
        <v>47</v>
      </c>
      <c r="Z12" s="149" t="n">
        <v>0.49</v>
      </c>
      <c r="AA12" s="150" t="n">
        <v>2.5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9"/>
  <sheetViews>
    <sheetView zoomScale="88" workbookViewId="0">
      <selection activeCell="G18" sqref="G18"/>
    </sheetView>
  </sheetViews>
  <sheetFormatPr baseColWidth="10" defaultRowHeight="15"/>
  <cols>
    <col width="17.6640625" customWidth="1" style="106" min="1" max="1"/>
    <col width="15.1640625" customWidth="1" style="106" min="2" max="14"/>
  </cols>
  <sheetData>
    <row r="1" ht="57" customHeight="1" s="106">
      <c r="A1" s="42" t="inlineStr">
        <is>
          <t>姓名</t>
        </is>
      </c>
      <c r="B1" s="43" t="inlineStr">
        <is>
          <t>營業額 (不含SA Care)</t>
        </is>
      </c>
      <c r="C1" s="43" t="inlineStr">
        <is>
          <t>3PP 營業額 (不含SA Care)</t>
        </is>
      </c>
      <c r="D1" s="43" t="inlineStr">
        <is>
          <t>原廠商品 營業額</t>
        </is>
      </c>
      <c r="E1" s="43" t="inlineStr">
        <is>
          <t>SA Care 金額(含稅)</t>
        </is>
      </c>
      <c r="F1" s="43" t="inlineStr">
        <is>
          <t>純SA Care 搭售率</t>
        </is>
      </c>
      <c r="G1" s="43" t="inlineStr">
        <is>
          <t>純3PP 搭售率</t>
        </is>
      </c>
      <c r="H1" s="44" t="inlineStr">
        <is>
          <t>原廠商品 毛利額</t>
        </is>
      </c>
      <c r="I1" s="44" t="inlineStr">
        <is>
          <t>3pp商品 毛利額</t>
        </is>
      </c>
      <c r="J1" s="44" t="inlineStr">
        <is>
          <t>SA Care 毛利額</t>
        </is>
      </c>
      <c r="K1" s="45" t="inlineStr">
        <is>
          <t>總毛利額</t>
        </is>
      </c>
      <c r="L1" s="44" t="inlineStr">
        <is>
          <t>毛利目標</t>
        </is>
      </c>
      <c r="M1" s="44" t="inlineStr">
        <is>
          <t>達成率</t>
        </is>
      </c>
      <c r="N1" s="46" t="inlineStr">
        <is>
          <t>累計獎金</t>
        </is>
      </c>
    </row>
    <row r="2" ht="52" customHeight="1" s="106">
      <c r="A2" s="53" t="n"/>
      <c r="B2" s="20" t="n"/>
      <c r="C2" s="20" t="n"/>
      <c r="D2" s="20" t="n"/>
      <c r="E2" s="20" t="n"/>
      <c r="F2" s="115">
        <f>E2/(E2+B2)</f>
        <v/>
      </c>
      <c r="G2" s="115">
        <f>C2/B2</f>
        <v/>
      </c>
      <c r="H2" s="20" t="n"/>
      <c r="I2" s="20" t="n"/>
      <c r="J2" s="60">
        <f>E2/2/1.05</f>
        <v/>
      </c>
      <c r="K2" s="28">
        <f>H2+I2+J2</f>
        <v/>
      </c>
      <c r="L2" s="28" t="n"/>
      <c r="M2" s="28" t="n"/>
      <c r="N2" s="28" t="n"/>
    </row>
    <row r="3" ht="52" customHeight="1" s="106">
      <c r="A3" s="53" t="n"/>
      <c r="B3" s="20" t="n"/>
      <c r="C3" s="20" t="n"/>
      <c r="D3" s="20" t="n"/>
      <c r="E3" s="20" t="n"/>
      <c r="F3" s="115">
        <f>E3/(E3+B3)</f>
        <v/>
      </c>
      <c r="G3" s="115">
        <f>C3/B3</f>
        <v/>
      </c>
      <c r="H3" s="20" t="n"/>
      <c r="I3" s="20" t="n"/>
      <c r="J3" s="60">
        <f>E3/2/1.05</f>
        <v/>
      </c>
      <c r="K3" s="28">
        <f>H3+I3+J3</f>
        <v/>
      </c>
      <c r="L3" s="48" t="n"/>
      <c r="M3" s="47" t="n"/>
      <c r="N3" s="48" t="n"/>
    </row>
    <row r="4" ht="52" customHeight="1" s="106">
      <c r="A4" s="53" t="n"/>
      <c r="B4" s="20" t="n"/>
      <c r="C4" s="20" t="n"/>
      <c r="D4" s="20" t="n"/>
      <c r="E4" s="20" t="n"/>
      <c r="F4" s="115">
        <f>E4/(E4+B4)</f>
        <v/>
      </c>
      <c r="G4" s="115">
        <f>C4/B4</f>
        <v/>
      </c>
      <c r="H4" s="20" t="n"/>
      <c r="I4" s="20" t="n"/>
      <c r="J4" s="60">
        <f>E4/2/1.05</f>
        <v/>
      </c>
      <c r="K4" s="28">
        <f>H4+I4+J4</f>
        <v/>
      </c>
      <c r="L4" s="48" t="n"/>
      <c r="M4" s="47" t="n"/>
      <c r="N4" s="48" t="n"/>
    </row>
    <row r="5" ht="52" customHeight="1" s="106">
      <c r="A5" s="53" t="n"/>
      <c r="B5" s="20" t="n"/>
      <c r="C5" s="20" t="n"/>
      <c r="D5" s="20" t="n"/>
      <c r="E5" s="20" t="n"/>
      <c r="F5" s="115">
        <f>E5/(E5+B5)</f>
        <v/>
      </c>
      <c r="G5" s="115">
        <f>C5/B5</f>
        <v/>
      </c>
      <c r="H5" s="20" t="n"/>
      <c r="I5" s="20" t="n"/>
      <c r="J5" s="60">
        <f>E5/2/1.05</f>
        <v/>
      </c>
      <c r="K5" s="28">
        <f>H5+I5+J5</f>
        <v/>
      </c>
      <c r="L5" s="48" t="n"/>
      <c r="M5" s="47" t="n"/>
      <c r="N5" s="48" t="n"/>
    </row>
    <row r="6" ht="52" customHeight="1" s="106">
      <c r="A6" s="53" t="n"/>
      <c r="B6" s="20" t="n"/>
      <c r="C6" s="20" t="n"/>
      <c r="D6" s="20" t="n"/>
      <c r="E6" s="20" t="n"/>
      <c r="F6" s="115">
        <f>E6/(E6+B6)</f>
        <v/>
      </c>
      <c r="G6" s="115">
        <f>C6/B6</f>
        <v/>
      </c>
      <c r="H6" s="20" t="n"/>
      <c r="I6" s="20" t="n"/>
      <c r="J6" s="60">
        <f>E6/2/1.05</f>
        <v/>
      </c>
      <c r="K6" s="28">
        <f>H6+I6+J6</f>
        <v/>
      </c>
      <c r="L6" s="48" t="n"/>
      <c r="M6" s="47" t="n"/>
      <c r="N6" s="48" t="n"/>
    </row>
    <row r="7" ht="52" customHeight="1" s="106">
      <c r="A7" s="53" t="n"/>
      <c r="B7" s="20" t="n"/>
      <c r="C7" s="20" t="n"/>
      <c r="D7" s="20" t="n"/>
      <c r="E7" s="20" t="n"/>
      <c r="F7" s="115">
        <f>E7/(E7+B7)</f>
        <v/>
      </c>
      <c r="G7" s="115">
        <f>C7/B7</f>
        <v/>
      </c>
      <c r="H7" s="20" t="n"/>
      <c r="I7" s="20" t="n"/>
      <c r="J7" s="60">
        <f>E7/2/1.05</f>
        <v/>
      </c>
      <c r="K7" s="28">
        <f>H7+I7+J7</f>
        <v/>
      </c>
      <c r="L7" s="48" t="n"/>
      <c r="M7" s="47" t="n"/>
      <c r="N7" s="48" t="n"/>
    </row>
    <row r="8" ht="52" customHeight="1" s="106">
      <c r="A8" s="53" t="n"/>
      <c r="B8" s="20" t="n"/>
      <c r="C8" s="20" t="n"/>
      <c r="D8" s="20" t="n"/>
      <c r="E8" s="20" t="n"/>
      <c r="F8" s="115">
        <f>E8/(E8+B8)</f>
        <v/>
      </c>
      <c r="G8" s="115">
        <f>C8/B8</f>
        <v/>
      </c>
      <c r="H8" s="20" t="n"/>
      <c r="I8" s="20" t="n"/>
      <c r="J8" s="60">
        <f>E8/2/1.05</f>
        <v/>
      </c>
      <c r="K8" s="28">
        <f>H8+I8+J8</f>
        <v/>
      </c>
      <c r="L8" s="48" t="n"/>
      <c r="M8" s="47" t="n"/>
      <c r="N8" s="48" t="n"/>
    </row>
    <row r="9" ht="52" customHeight="1" s="106">
      <c r="A9" s="49" t="inlineStr">
        <is>
          <t>加總</t>
        </is>
      </c>
      <c r="B9" s="28" t="n"/>
      <c r="C9" s="28" t="n"/>
      <c r="D9" s="28" t="n"/>
      <c r="E9" s="28" t="n"/>
      <c r="F9" s="115">
        <f>E9/(E9+B9)</f>
        <v/>
      </c>
      <c r="G9" s="115">
        <f>C9/B9</f>
        <v/>
      </c>
      <c r="H9" s="28" t="n"/>
      <c r="I9" s="28" t="n"/>
      <c r="J9" s="60">
        <f>E9/2/1.05</f>
        <v/>
      </c>
      <c r="K9" s="28">
        <f>H9+I9+J9</f>
        <v/>
      </c>
      <c r="L9" s="48" t="n"/>
      <c r="M9" s="47" t="n"/>
      <c r="N9" s="28" t="n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N22" sqref="N22"/>
    </sheetView>
  </sheetViews>
  <sheetFormatPr baseColWidth="10" defaultRowHeight="15"/>
  <cols>
    <col width="10.33203125" customWidth="1" style="106" min="2" max="9"/>
    <col width="11.1640625" customWidth="1" style="106" min="10" max="10"/>
    <col width="10.33203125" customWidth="1" style="106" min="11" max="22"/>
    <col width="13" customWidth="1" style="106" min="23" max="23"/>
    <col width="13" customWidth="1" style="106" min="24" max="24"/>
    <col width="10.33203125" customWidth="1" style="106" min="25" max="25"/>
    <col width="13" customWidth="1" style="106" min="26" max="26"/>
    <col width="13" customWidth="1" style="106" min="27" max="27"/>
    <col width="13" customWidth="1" style="106" min="28" max="28"/>
  </cols>
  <sheetData>
    <row r="1" ht="30" customHeight="1" s="106">
      <c r="A1" s="65" t="inlineStr">
        <is>
          <t>姓名</t>
        </is>
      </c>
      <c r="B1" s="66" t="inlineStr">
        <is>
          <t>CPU</t>
        </is>
      </c>
      <c r="C1" s="66" t="inlineStr">
        <is>
          <t>Mac ACPP+</t>
        </is>
      </c>
      <c r="D1" s="66" t="inlineStr">
        <is>
          <t>Mac
SACare</t>
        </is>
      </c>
      <c r="E1" s="66" t="inlineStr">
        <is>
          <t>搭售率</t>
        </is>
      </c>
      <c r="F1" s="69" t="inlineStr">
        <is>
          <t>iPad</t>
        </is>
      </c>
      <c r="G1" s="69" t="inlineStr">
        <is>
          <t>iPad ACPP+</t>
        </is>
      </c>
      <c r="H1" s="69" t="inlineStr">
        <is>
          <t>iPad SACare</t>
        </is>
      </c>
      <c r="I1" s="69" t="inlineStr">
        <is>
          <t>搭售率</t>
        </is>
      </c>
      <c r="J1" s="52" t="inlineStr">
        <is>
          <t>iPhone</t>
        </is>
      </c>
      <c r="K1" s="52" t="inlineStr">
        <is>
          <t>iPhone
ACPP+</t>
        </is>
      </c>
      <c r="L1" s="52" t="inlineStr">
        <is>
          <t>iPhone SACare</t>
        </is>
      </c>
      <c r="M1" s="52" t="inlineStr">
        <is>
          <t>搭售率</t>
        </is>
      </c>
      <c r="N1" s="67" t="inlineStr">
        <is>
          <t>iOS 搭售率</t>
        </is>
      </c>
      <c r="O1" s="70" t="inlineStr">
        <is>
          <t>Watch</t>
        </is>
      </c>
      <c r="P1" s="70" t="inlineStr">
        <is>
          <t>Watch ACPP+</t>
        </is>
      </c>
      <c r="Q1" s="70" t="inlineStr">
        <is>
          <t>Watch SACare</t>
        </is>
      </c>
      <c r="R1" s="70" t="inlineStr">
        <is>
          <t>搭售率</t>
        </is>
      </c>
      <c r="S1" s="68" t="inlineStr">
        <is>
          <t>AirPods</t>
        </is>
      </c>
      <c r="T1" s="68" t="inlineStr">
        <is>
          <t>AirPods ACPP+</t>
        </is>
      </c>
      <c r="U1" s="68" t="inlineStr">
        <is>
          <t>AirPods SACare</t>
        </is>
      </c>
      <c r="V1" s="68" t="inlineStr">
        <is>
          <t>搭售率</t>
        </is>
      </c>
      <c r="W1" s="186" t="inlineStr">
        <is>
          <t>MySetup
提交數量</t>
        </is>
      </c>
      <c r="X1" s="186" t="inlineStr">
        <is>
          <t>MySetup
提交率</t>
        </is>
      </c>
      <c r="Y1" s="167" t="inlineStr">
        <is>
          <t>服務費</t>
        </is>
      </c>
      <c r="Z1" s="186" t="inlineStr">
        <is>
          <t>MyCoach
應充值數</t>
        </is>
      </c>
      <c r="AA1" s="186" t="inlineStr">
        <is>
          <t>實際
充值數</t>
        </is>
      </c>
      <c r="AB1" s="186" t="inlineStr">
        <is>
          <t>儲值率</t>
        </is>
      </c>
    </row>
    <row r="2" ht="39" customHeight="1" s="106">
      <c r="A2" s="53" t="n"/>
      <c r="B2" s="50" t="n"/>
      <c r="C2" s="50" t="n"/>
      <c r="D2" s="50" t="n"/>
      <c r="E2" s="51" t="n"/>
      <c r="F2" s="50" t="n"/>
      <c r="G2" s="50" t="n"/>
      <c r="H2" s="50" t="n"/>
      <c r="I2" s="51" t="n"/>
      <c r="J2" s="50" t="n"/>
      <c r="K2" s="50" t="n"/>
      <c r="L2" s="50" t="n"/>
      <c r="M2" s="51" t="n"/>
      <c r="N2" s="51" t="n"/>
      <c r="O2" s="50" t="n"/>
      <c r="P2" s="50" t="n"/>
      <c r="Q2" s="50" t="n"/>
      <c r="R2" s="51" t="n"/>
      <c r="S2" s="50" t="n"/>
      <c r="T2" s="50" t="n"/>
      <c r="U2" s="50" t="n"/>
      <c r="V2" s="51" t="n"/>
      <c r="W2" s="50" t="n"/>
      <c r="X2" s="51" t="n"/>
      <c r="Z2" s="50" t="n"/>
      <c r="AA2" s="50" t="n"/>
      <c r="AB2" s="187" t="n"/>
    </row>
    <row r="3" ht="39" customHeight="1" s="106">
      <c r="A3" s="53" t="n"/>
      <c r="B3" s="50" t="n"/>
      <c r="C3" s="50" t="n"/>
      <c r="D3" s="50" t="n"/>
      <c r="E3" s="51" t="n"/>
      <c r="F3" s="50" t="n"/>
      <c r="G3" s="50" t="n"/>
      <c r="H3" s="50" t="n"/>
      <c r="I3" s="51" t="n"/>
      <c r="J3" s="50" t="n"/>
      <c r="K3" s="50" t="n"/>
      <c r="L3" s="50" t="n"/>
      <c r="M3" s="51" t="n"/>
      <c r="N3" s="51" t="n"/>
      <c r="O3" s="50" t="n"/>
      <c r="P3" s="50" t="n"/>
      <c r="Q3" s="50" t="n"/>
      <c r="R3" s="51" t="n"/>
      <c r="S3" s="50" t="n"/>
      <c r="T3" s="50" t="n"/>
      <c r="U3" s="50" t="n"/>
      <c r="V3" s="51" t="n"/>
      <c r="W3" s="50" t="n"/>
      <c r="X3" s="51" t="n"/>
      <c r="Y3" s="168" t="n"/>
      <c r="Z3" s="50" t="n"/>
      <c r="AA3" s="50" t="n"/>
      <c r="AB3" s="187" t="n"/>
    </row>
    <row r="4" ht="39" customHeight="1" s="106">
      <c r="A4" s="53" t="n"/>
      <c r="B4" s="50" t="n"/>
      <c r="C4" s="50" t="n"/>
      <c r="D4" s="50" t="n"/>
      <c r="E4" s="51" t="n"/>
      <c r="F4" s="50" t="n"/>
      <c r="G4" s="50" t="n"/>
      <c r="H4" s="50" t="n"/>
      <c r="I4" s="51" t="n"/>
      <c r="J4" s="50" t="n"/>
      <c r="K4" s="50" t="n"/>
      <c r="L4" s="50" t="n"/>
      <c r="M4" s="51" t="n"/>
      <c r="N4" s="51" t="n"/>
      <c r="O4" s="50" t="n"/>
      <c r="P4" s="50" t="n"/>
      <c r="Q4" s="50" t="n"/>
      <c r="R4" s="51" t="n"/>
      <c r="S4" s="50" t="n"/>
      <c r="T4" s="50" t="n"/>
      <c r="U4" s="50" t="n"/>
      <c r="V4" s="51" t="n"/>
      <c r="W4" s="50" t="n"/>
      <c r="X4" s="51" t="n"/>
      <c r="Y4" s="168" t="n"/>
      <c r="Z4" s="50" t="n"/>
      <c r="AA4" s="50" t="n"/>
      <c r="AB4" s="187" t="n"/>
    </row>
    <row r="5" ht="39" customHeight="1" s="106">
      <c r="A5" s="53" t="n"/>
      <c r="B5" s="50" t="n"/>
      <c r="C5" s="50" t="n"/>
      <c r="D5" s="50" t="n"/>
      <c r="E5" s="51" t="n"/>
      <c r="F5" s="50" t="n"/>
      <c r="G5" s="50" t="n"/>
      <c r="H5" s="50" t="n"/>
      <c r="I5" s="51" t="n"/>
      <c r="J5" s="50" t="n"/>
      <c r="K5" s="50" t="n"/>
      <c r="L5" s="50" t="n"/>
      <c r="M5" s="51" t="n"/>
      <c r="N5" s="51" t="n"/>
      <c r="O5" s="50" t="n"/>
      <c r="P5" s="50" t="n"/>
      <c r="Q5" s="50" t="n"/>
      <c r="R5" s="51" t="n"/>
      <c r="S5" s="50" t="n"/>
      <c r="T5" s="50" t="n"/>
      <c r="U5" s="50" t="n"/>
      <c r="V5" s="51" t="n"/>
      <c r="W5" s="50" t="n"/>
      <c r="X5" s="51" t="n"/>
      <c r="Y5" s="168" t="n"/>
      <c r="Z5" s="50" t="n"/>
      <c r="AA5" s="50" t="n"/>
      <c r="AB5" s="187" t="n"/>
    </row>
    <row r="6" ht="39" customHeight="1" s="106">
      <c r="A6" s="53" t="n"/>
      <c r="B6" s="50" t="n"/>
      <c r="C6" s="50" t="n"/>
      <c r="D6" s="50" t="n"/>
      <c r="E6" s="51" t="n"/>
      <c r="F6" s="50" t="n"/>
      <c r="G6" s="50" t="n"/>
      <c r="H6" s="50" t="n"/>
      <c r="I6" s="51" t="n"/>
      <c r="J6" s="50" t="n"/>
      <c r="K6" s="50" t="n"/>
      <c r="L6" s="50" t="n"/>
      <c r="M6" s="51" t="n"/>
      <c r="N6" s="51" t="n"/>
      <c r="O6" s="50" t="n"/>
      <c r="P6" s="50" t="n"/>
      <c r="Q6" s="50" t="n"/>
      <c r="R6" s="51" t="n"/>
      <c r="S6" s="50" t="n"/>
      <c r="T6" s="50" t="n"/>
      <c r="U6" s="50" t="n"/>
      <c r="V6" s="51" t="n"/>
      <c r="W6" s="50" t="n"/>
      <c r="X6" s="51" t="n"/>
      <c r="Y6" s="168" t="n"/>
      <c r="Z6" s="50" t="n"/>
      <c r="AA6" s="50" t="n"/>
      <c r="AB6" s="187" t="n"/>
    </row>
    <row r="7" ht="39" customHeight="1" s="106">
      <c r="A7" s="53" t="n"/>
      <c r="B7" s="50" t="n"/>
      <c r="C7" s="50" t="n"/>
      <c r="D7" s="50" t="n"/>
      <c r="E7" s="51" t="n"/>
      <c r="F7" s="50" t="n"/>
      <c r="G7" s="50" t="n"/>
      <c r="H7" s="50" t="n"/>
      <c r="I7" s="51" t="n"/>
      <c r="J7" s="50" t="n"/>
      <c r="K7" s="50" t="n"/>
      <c r="L7" s="50" t="n"/>
      <c r="M7" s="51" t="n"/>
      <c r="N7" s="51" t="n"/>
      <c r="O7" s="50" t="n"/>
      <c r="P7" s="50" t="n"/>
      <c r="Q7" s="50" t="n"/>
      <c r="R7" s="51" t="n"/>
      <c r="S7" s="50" t="n"/>
      <c r="T7" s="50" t="n"/>
      <c r="U7" s="50" t="n"/>
      <c r="V7" s="51" t="n"/>
      <c r="W7" s="50" t="n"/>
      <c r="X7" s="51" t="n"/>
      <c r="Y7" s="168" t="n"/>
      <c r="Z7" s="50" t="n"/>
      <c r="AA7" s="50" t="n"/>
      <c r="AB7" s="187" t="n"/>
    </row>
    <row r="8" ht="39" customHeight="1" s="106">
      <c r="A8" s="53" t="n"/>
      <c r="B8" s="50" t="n"/>
      <c r="C8" s="50" t="n"/>
      <c r="D8" s="50" t="n"/>
      <c r="E8" s="51" t="n"/>
      <c r="F8" s="50" t="n"/>
      <c r="G8" s="50" t="n"/>
      <c r="H8" s="50" t="n"/>
      <c r="I8" s="51" t="n"/>
      <c r="J8" s="50" t="n"/>
      <c r="K8" s="50" t="n"/>
      <c r="L8" s="50" t="n"/>
      <c r="M8" s="51" t="n"/>
      <c r="N8" s="51" t="n"/>
      <c r="O8" s="50" t="n"/>
      <c r="P8" s="50" t="n"/>
      <c r="Q8" s="50" t="n"/>
      <c r="R8" s="51" t="n"/>
      <c r="S8" s="50" t="n"/>
      <c r="T8" s="50" t="n"/>
      <c r="U8" s="50" t="n"/>
      <c r="V8" s="51" t="n"/>
      <c r="W8" s="50" t="n"/>
      <c r="X8" s="51" t="n"/>
      <c r="Y8" s="168" t="n"/>
      <c r="Z8" s="50" t="n"/>
      <c r="AA8" s="50" t="n"/>
      <c r="AB8" s="187" t="n"/>
    </row>
    <row r="9" ht="19" customHeight="1" s="106">
      <c r="A9" s="41" t="inlineStr">
        <is>
          <t>加總</t>
        </is>
      </c>
      <c r="B9" s="41" t="n"/>
      <c r="C9" s="41" t="n"/>
      <c r="D9" s="41" t="n"/>
      <c r="E9" s="51" t="n"/>
      <c r="F9" s="41" t="n"/>
      <c r="G9" s="41" t="n"/>
      <c r="H9" s="41" t="n"/>
      <c r="I9" s="51" t="n"/>
      <c r="J9" s="41" t="n"/>
      <c r="K9" s="41" t="n"/>
      <c r="L9" s="41" t="n"/>
      <c r="M9" s="51" t="n"/>
      <c r="N9" s="51" t="n"/>
      <c r="O9" s="41" t="n"/>
      <c r="P9" s="41" t="n"/>
      <c r="Q9" s="41" t="n"/>
      <c r="R9" s="51" t="n"/>
      <c r="S9" s="41" t="n"/>
      <c r="T9" s="41" t="n"/>
      <c r="U9" s="41" t="n"/>
      <c r="V9" s="51" t="n"/>
      <c r="W9" s="41" t="n"/>
      <c r="X9" s="51" t="n"/>
      <c r="Y9" s="169" t="n"/>
      <c r="Z9" s="41" t="n"/>
      <c r="AA9" s="41" t="n"/>
      <c r="AB9" s="187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B2" sqref="B2"/>
    </sheetView>
  </sheetViews>
  <sheetFormatPr baseColWidth="10" defaultRowHeight="15"/>
  <cols>
    <col width="10.33203125" customWidth="1" style="106" min="2" max="9"/>
    <col width="11.1640625" customWidth="1" style="106" min="10" max="10"/>
    <col width="10.33203125" customWidth="1" style="106" min="11" max="22"/>
    <col width="13" customWidth="1" style="106" min="23" max="23"/>
    <col width="13" customWidth="1" style="106" min="24" max="24"/>
    <col width="10.33203125" customWidth="1" style="106" min="25" max="25"/>
    <col width="13" customWidth="1" style="106" min="26" max="26"/>
    <col width="13" customWidth="1" style="106" min="27" max="27"/>
    <col width="13" customWidth="1" style="106" min="28" max="28"/>
  </cols>
  <sheetData>
    <row r="1" ht="30" customHeight="1" s="106">
      <c r="A1" s="65" t="inlineStr">
        <is>
          <t>姓名</t>
        </is>
      </c>
      <c r="B1" s="66" t="inlineStr">
        <is>
          <t>CPU</t>
        </is>
      </c>
      <c r="C1" s="66" t="inlineStr">
        <is>
          <t>Mac ACPP+</t>
        </is>
      </c>
      <c r="D1" s="66" t="inlineStr">
        <is>
          <t>Mac SACare</t>
        </is>
      </c>
      <c r="E1" s="66" t="inlineStr">
        <is>
          <t>搭售率</t>
        </is>
      </c>
      <c r="F1" s="69" t="inlineStr">
        <is>
          <t>iPad</t>
        </is>
      </c>
      <c r="G1" s="69" t="inlineStr">
        <is>
          <t>iPad ACPP+</t>
        </is>
      </c>
      <c r="H1" s="69" t="inlineStr">
        <is>
          <t>iPad SACare</t>
        </is>
      </c>
      <c r="I1" s="69" t="inlineStr">
        <is>
          <t>搭售率</t>
        </is>
      </c>
      <c r="J1" s="52" t="inlineStr">
        <is>
          <t>iPhone</t>
        </is>
      </c>
      <c r="K1" s="52" t="inlineStr">
        <is>
          <t>iPhone
ACPP+</t>
        </is>
      </c>
      <c r="L1" s="52" t="inlineStr">
        <is>
          <t>iPhone SACare</t>
        </is>
      </c>
      <c r="M1" s="52" t="inlineStr">
        <is>
          <t>搭售率</t>
        </is>
      </c>
      <c r="N1" s="67" t="inlineStr">
        <is>
          <t>iOS 搭售率</t>
        </is>
      </c>
      <c r="O1" s="70" t="inlineStr">
        <is>
          <t>Watch</t>
        </is>
      </c>
      <c r="P1" s="70" t="inlineStr">
        <is>
          <t>Watch ACPP+</t>
        </is>
      </c>
      <c r="Q1" s="70" t="inlineStr">
        <is>
          <t>Watch SACare</t>
        </is>
      </c>
      <c r="R1" s="70" t="inlineStr">
        <is>
          <t>搭售率</t>
        </is>
      </c>
      <c r="S1" s="68" t="inlineStr">
        <is>
          <t>AirPods</t>
        </is>
      </c>
      <c r="T1" s="68" t="inlineStr">
        <is>
          <t>AirPods ACPP+</t>
        </is>
      </c>
      <c r="U1" s="68" t="inlineStr">
        <is>
          <t>AirPods SACare</t>
        </is>
      </c>
      <c r="V1" s="68" t="inlineStr">
        <is>
          <t>搭售率</t>
        </is>
      </c>
      <c r="W1" s="186" t="inlineStr">
        <is>
          <t>MySetup
提交數量</t>
        </is>
      </c>
      <c r="X1" s="186" t="inlineStr">
        <is>
          <t>MySetup
提交率</t>
        </is>
      </c>
      <c r="Y1" s="167" t="inlineStr">
        <is>
          <t>服務費</t>
        </is>
      </c>
      <c r="Z1" s="186" t="inlineStr">
        <is>
          <t>MyCoach
應充值數</t>
        </is>
      </c>
      <c r="AA1" s="186" t="inlineStr">
        <is>
          <t>實際
充值數</t>
        </is>
      </c>
      <c r="AB1" s="186" t="inlineStr">
        <is>
          <t>儲值率</t>
        </is>
      </c>
    </row>
    <row r="2" ht="39" customHeight="1" s="106">
      <c r="A2" s="53" t="n"/>
      <c r="B2" s="50" t="n"/>
      <c r="C2" s="50" t="n"/>
      <c r="D2" s="50" t="n"/>
      <c r="E2" s="51" t="n"/>
      <c r="F2" s="50" t="n"/>
      <c r="G2" s="50" t="n"/>
      <c r="H2" s="50" t="n"/>
      <c r="I2" s="51" t="n"/>
      <c r="J2" s="50" t="n"/>
      <c r="K2" s="50" t="n"/>
      <c r="L2" s="50" t="n"/>
      <c r="M2" s="51" t="n"/>
      <c r="N2" s="51" t="n"/>
      <c r="O2" s="50" t="n"/>
      <c r="P2" s="50" t="n"/>
      <c r="Q2" s="50" t="n"/>
      <c r="R2" s="51" t="n"/>
      <c r="S2" s="50" t="n"/>
      <c r="T2" s="50" t="n"/>
      <c r="U2" s="50" t="n"/>
      <c r="V2" s="51" t="n"/>
      <c r="W2" s="50" t="n"/>
      <c r="X2" s="51" t="n"/>
      <c r="Z2" s="50" t="n"/>
      <c r="AA2" s="50" t="n"/>
      <c r="AB2" s="187" t="n"/>
    </row>
    <row r="3" ht="39" customHeight="1" s="106">
      <c r="A3" s="53" t="n"/>
      <c r="B3" s="50" t="n"/>
      <c r="C3" s="50" t="n"/>
      <c r="D3" s="50" t="n"/>
      <c r="E3" s="51" t="n"/>
      <c r="F3" s="50" t="n"/>
      <c r="G3" s="50" t="n"/>
      <c r="H3" s="50" t="n"/>
      <c r="I3" s="51" t="n"/>
      <c r="J3" s="50" t="n"/>
      <c r="K3" s="50" t="n"/>
      <c r="L3" s="50" t="n"/>
      <c r="M3" s="51" t="n"/>
      <c r="N3" s="51" t="n"/>
      <c r="O3" s="50" t="n"/>
      <c r="P3" s="50" t="n"/>
      <c r="Q3" s="50" t="n"/>
      <c r="R3" s="51" t="n"/>
      <c r="S3" s="50" t="n"/>
      <c r="T3" s="50" t="n"/>
      <c r="U3" s="50" t="n"/>
      <c r="V3" s="51" t="n"/>
      <c r="W3" s="50" t="n"/>
      <c r="X3" s="51" t="n"/>
      <c r="Y3" s="168" t="n"/>
      <c r="Z3" s="50" t="n"/>
      <c r="AA3" s="50" t="n"/>
      <c r="AB3" s="187" t="n"/>
    </row>
    <row r="4" ht="39" customHeight="1" s="106">
      <c r="A4" s="53" t="n"/>
      <c r="B4" s="50" t="n"/>
      <c r="C4" s="50" t="n"/>
      <c r="D4" s="50" t="n"/>
      <c r="E4" s="51" t="n"/>
      <c r="F4" s="50" t="n"/>
      <c r="G4" s="50" t="n"/>
      <c r="H4" s="50" t="n"/>
      <c r="I4" s="51" t="n"/>
      <c r="J4" s="50" t="n"/>
      <c r="K4" s="50" t="n"/>
      <c r="L4" s="50" t="n"/>
      <c r="M4" s="51" t="n"/>
      <c r="N4" s="51" t="n"/>
      <c r="O4" s="50" t="n"/>
      <c r="P4" s="50" t="n"/>
      <c r="Q4" s="50" t="n"/>
      <c r="R4" s="51" t="n"/>
      <c r="S4" s="50" t="n"/>
      <c r="T4" s="50" t="n"/>
      <c r="U4" s="50" t="n"/>
      <c r="V4" s="51" t="n"/>
      <c r="W4" s="50" t="n"/>
      <c r="X4" s="51" t="n"/>
      <c r="Y4" s="168" t="n"/>
      <c r="Z4" s="50" t="n"/>
      <c r="AA4" s="50" t="n"/>
      <c r="AB4" s="187" t="n"/>
    </row>
    <row r="5" ht="39" customHeight="1" s="106">
      <c r="A5" s="53" t="n"/>
      <c r="B5" s="50" t="n"/>
      <c r="C5" s="50" t="n"/>
      <c r="D5" s="50" t="n"/>
      <c r="E5" s="51" t="n"/>
      <c r="F5" s="50" t="n"/>
      <c r="G5" s="50" t="n"/>
      <c r="H5" s="50" t="n"/>
      <c r="I5" s="51" t="n"/>
      <c r="J5" s="50" t="n"/>
      <c r="K5" s="50" t="n"/>
      <c r="L5" s="50" t="n"/>
      <c r="M5" s="51" t="n"/>
      <c r="N5" s="51" t="n"/>
      <c r="O5" s="50" t="n"/>
      <c r="P5" s="50" t="n"/>
      <c r="Q5" s="50" t="n"/>
      <c r="R5" s="51" t="n"/>
      <c r="S5" s="50" t="n"/>
      <c r="T5" s="50" t="n"/>
      <c r="U5" s="50" t="n"/>
      <c r="V5" s="51" t="n"/>
      <c r="W5" s="50" t="n"/>
      <c r="X5" s="51" t="n"/>
      <c r="Y5" s="168" t="n"/>
      <c r="Z5" s="50" t="n"/>
      <c r="AA5" s="50" t="n"/>
      <c r="AB5" s="187" t="n"/>
    </row>
    <row r="6" ht="39" customHeight="1" s="106">
      <c r="A6" s="53" t="n"/>
      <c r="B6" s="50" t="n"/>
      <c r="C6" s="50" t="n"/>
      <c r="D6" s="50" t="n"/>
      <c r="E6" s="51" t="n"/>
      <c r="F6" s="50" t="n"/>
      <c r="G6" s="50" t="n"/>
      <c r="H6" s="50" t="n"/>
      <c r="I6" s="51" t="n"/>
      <c r="J6" s="50" t="n"/>
      <c r="K6" s="50" t="n"/>
      <c r="L6" s="50" t="n"/>
      <c r="M6" s="51" t="n"/>
      <c r="N6" s="51" t="n"/>
      <c r="O6" s="50" t="n"/>
      <c r="P6" s="50" t="n"/>
      <c r="Q6" s="50" t="n"/>
      <c r="R6" s="51" t="n"/>
      <c r="S6" s="50" t="n"/>
      <c r="T6" s="50" t="n"/>
      <c r="U6" s="50" t="n"/>
      <c r="V6" s="51" t="n"/>
      <c r="W6" s="50" t="n"/>
      <c r="X6" s="51" t="n"/>
      <c r="Y6" s="168" t="n"/>
      <c r="Z6" s="50" t="n"/>
      <c r="AA6" s="50" t="n"/>
      <c r="AB6" s="187" t="n"/>
    </row>
    <row r="7" ht="39" customHeight="1" s="106">
      <c r="A7" s="53" t="n"/>
      <c r="B7" s="50" t="n"/>
      <c r="C7" s="50" t="n"/>
      <c r="D7" s="50" t="n"/>
      <c r="E7" s="51" t="n"/>
      <c r="F7" s="50" t="n"/>
      <c r="G7" s="50" t="n"/>
      <c r="H7" s="50" t="n"/>
      <c r="I7" s="51" t="n"/>
      <c r="J7" s="50" t="n"/>
      <c r="K7" s="50" t="n"/>
      <c r="L7" s="50" t="n"/>
      <c r="M7" s="51" t="n"/>
      <c r="N7" s="51" t="n"/>
      <c r="O7" s="50" t="n"/>
      <c r="P7" s="50" t="n"/>
      <c r="Q7" s="50" t="n"/>
      <c r="R7" s="51" t="n"/>
      <c r="S7" s="50" t="n"/>
      <c r="T7" s="50" t="n"/>
      <c r="U7" s="50" t="n"/>
      <c r="V7" s="51" t="n"/>
      <c r="W7" s="50" t="n"/>
      <c r="X7" s="51" t="n"/>
      <c r="Y7" s="168" t="n"/>
      <c r="Z7" s="50" t="n"/>
      <c r="AA7" s="50" t="n"/>
      <c r="AB7" s="187" t="n"/>
    </row>
    <row r="8" ht="39" customHeight="1" s="106">
      <c r="A8" s="53" t="n"/>
      <c r="B8" s="50" t="n"/>
      <c r="C8" s="50" t="n"/>
      <c r="D8" s="50" t="n"/>
      <c r="E8" s="51" t="n"/>
      <c r="F8" s="50" t="n"/>
      <c r="G8" s="50" t="n"/>
      <c r="H8" s="50" t="n"/>
      <c r="I8" s="51" t="n"/>
      <c r="J8" s="50" t="n"/>
      <c r="K8" s="50" t="n"/>
      <c r="L8" s="50" t="n"/>
      <c r="M8" s="51" t="n"/>
      <c r="N8" s="51" t="n"/>
      <c r="O8" s="50" t="n"/>
      <c r="P8" s="50" t="n"/>
      <c r="Q8" s="50" t="n"/>
      <c r="R8" s="51" t="n"/>
      <c r="S8" s="50" t="n"/>
      <c r="T8" s="50" t="n"/>
      <c r="U8" s="50" t="n"/>
      <c r="V8" s="51" t="n"/>
      <c r="W8" s="50" t="n"/>
      <c r="X8" s="51" t="n"/>
      <c r="Y8" s="168" t="n"/>
      <c r="Z8" s="50" t="n"/>
      <c r="AA8" s="50" t="n"/>
      <c r="AB8" s="187" t="n"/>
    </row>
    <row r="9" ht="19" customHeight="1" s="106">
      <c r="A9" s="41" t="inlineStr">
        <is>
          <t>加總</t>
        </is>
      </c>
      <c r="B9" s="41" t="n"/>
      <c r="C9" s="41" t="n"/>
      <c r="D9" s="41" t="n"/>
      <c r="E9" s="51" t="n"/>
      <c r="F9" s="41" t="n"/>
      <c r="G9" s="41" t="n"/>
      <c r="H9" s="41" t="n"/>
      <c r="I9" s="51" t="n"/>
      <c r="J9" s="41" t="n"/>
      <c r="K9" s="41" t="n"/>
      <c r="L9" s="41" t="n"/>
      <c r="M9" s="51" t="n"/>
      <c r="N9" s="51" t="n"/>
      <c r="O9" s="41" t="n"/>
      <c r="P9" s="41" t="n"/>
      <c r="Q9" s="41" t="n"/>
      <c r="R9" s="51" t="n"/>
      <c r="S9" s="41" t="n"/>
      <c r="T9" s="41" t="n"/>
      <c r="U9" s="41" t="n"/>
      <c r="V9" s="51" t="n"/>
      <c r="W9" s="41" t="n"/>
      <c r="X9" s="51" t="n"/>
      <c r="Y9" s="169" t="n"/>
      <c r="Z9" s="41" t="n"/>
      <c r="AA9" s="41" t="n"/>
      <c r="AB9" s="187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2" sqref="A2:A8"/>
    </sheetView>
  </sheetViews>
  <sheetFormatPr baseColWidth="10" defaultRowHeight="15"/>
  <cols>
    <col width="19" customWidth="1" style="106" min="1" max="1"/>
    <col width="18" customWidth="1" style="106" min="2" max="10"/>
  </cols>
  <sheetData>
    <row r="1" ht="52" customHeight="1" s="106">
      <c r="A1" s="50" t="inlineStr">
        <is>
          <t>姓名</t>
        </is>
      </c>
      <c r="B1" s="54" t="inlineStr">
        <is>
          <t>CPU 配件金額</t>
        </is>
      </c>
      <c r="C1" s="54" t="inlineStr">
        <is>
          <t>iPhone配件 金額</t>
        </is>
      </c>
      <c r="D1" s="54" t="inlineStr">
        <is>
          <t>iPad配件金額</t>
        </is>
      </c>
      <c r="E1" s="54" t="inlineStr">
        <is>
          <t>CPU/iOS通用週邊金額</t>
        </is>
      </c>
      <c r="F1" s="54" t="inlineStr">
        <is>
          <t>iOS通用週邊配件金額</t>
        </is>
      </c>
      <c r="G1" s="54" t="inlineStr">
        <is>
          <t>Watch 配件金額</t>
        </is>
      </c>
      <c r="H1" s="54" t="inlineStr">
        <is>
          <t>AirPods 配件金額</t>
        </is>
      </c>
      <c r="I1" s="22" t="inlineStr">
        <is>
          <t>VAP 金額</t>
        </is>
      </c>
      <c r="J1" s="26" t="inlineStr">
        <is>
          <t>Office數量</t>
        </is>
      </c>
    </row>
    <row r="2" ht="52" customHeight="1" s="106">
      <c r="A2" s="53" t="n"/>
      <c r="B2" s="114" t="n"/>
      <c r="C2" s="114" t="n"/>
      <c r="D2" s="114" t="n"/>
      <c r="E2" s="114" t="n"/>
      <c r="F2" s="114" t="n"/>
      <c r="G2" s="114" t="n"/>
      <c r="H2" s="114" t="n"/>
      <c r="I2" s="114" t="n"/>
      <c r="J2" s="114" t="n"/>
    </row>
    <row r="3" ht="52" customHeight="1" s="106">
      <c r="A3" s="53" t="n"/>
      <c r="B3" s="114" t="n"/>
      <c r="C3" s="114" t="n"/>
      <c r="D3" s="114" t="n"/>
      <c r="E3" s="114" t="n"/>
      <c r="F3" s="114" t="n"/>
      <c r="G3" s="114" t="n"/>
      <c r="H3" s="114" t="n"/>
      <c r="I3" s="114" t="n"/>
      <c r="J3" s="114" t="n"/>
    </row>
    <row r="4" ht="52" customHeight="1" s="106">
      <c r="A4" s="53" t="n"/>
      <c r="B4" s="114" t="n"/>
      <c r="C4" s="114" t="n"/>
      <c r="D4" s="114" t="n"/>
      <c r="E4" s="114" t="n"/>
      <c r="F4" s="114" t="n"/>
      <c r="G4" s="114" t="n"/>
      <c r="H4" s="114" t="n"/>
      <c r="I4" s="114" t="n"/>
      <c r="J4" s="114" t="n"/>
    </row>
    <row r="5" ht="52" customHeight="1" s="106">
      <c r="A5" s="53" t="n"/>
      <c r="B5" s="114" t="n"/>
      <c r="C5" s="114" t="n"/>
      <c r="D5" s="114" t="n"/>
      <c r="E5" s="114" t="n"/>
      <c r="F5" s="114" t="n"/>
      <c r="G5" s="114" t="n"/>
      <c r="H5" s="114" t="n"/>
      <c r="I5" s="114" t="n"/>
      <c r="J5" s="114" t="n"/>
    </row>
    <row r="6" ht="52" customHeight="1" s="106">
      <c r="A6" s="53" t="n"/>
      <c r="B6" s="114" t="n"/>
      <c r="C6" s="114" t="n"/>
      <c r="D6" s="114" t="n"/>
      <c r="E6" s="114" t="n"/>
      <c r="F6" s="114" t="n"/>
      <c r="G6" s="114" t="n"/>
      <c r="H6" s="114" t="n"/>
      <c r="I6" s="114" t="n"/>
      <c r="J6" s="114" t="n"/>
    </row>
    <row r="7" ht="52" customHeight="1" s="106">
      <c r="A7" s="53" t="n"/>
      <c r="B7" s="114" t="n"/>
      <c r="C7" s="114" t="n"/>
      <c r="D7" s="114" t="n"/>
      <c r="E7" s="114" t="n"/>
      <c r="F7" s="114" t="n"/>
      <c r="G7" s="114" t="n"/>
      <c r="H7" s="114" t="n"/>
      <c r="I7" s="114" t="n"/>
      <c r="J7" s="114" t="n"/>
    </row>
    <row r="8" ht="52" customHeight="1" s="106">
      <c r="A8" s="53" t="n"/>
      <c r="B8" s="114" t="n"/>
      <c r="C8" s="114" t="n"/>
      <c r="D8" s="114" t="n"/>
      <c r="E8" s="114" t="n"/>
      <c r="F8" s="114" t="n"/>
      <c r="G8" s="114" t="n"/>
      <c r="H8" s="114" t="n"/>
      <c r="I8" s="114" t="n"/>
      <c r="J8" s="114" t="n"/>
    </row>
    <row r="9" ht="52" customHeight="1" s="106">
      <c r="A9" s="41" t="inlineStr">
        <is>
          <t>加總</t>
        </is>
      </c>
      <c r="B9" s="113" t="n"/>
      <c r="C9" s="113" t="n"/>
      <c r="D9" s="113" t="n"/>
      <c r="E9" s="113" t="n"/>
      <c r="F9" s="113" t="n"/>
      <c r="G9" s="113" t="n"/>
      <c r="H9" s="113" t="n"/>
      <c r="I9" s="113" t="n"/>
      <c r="J9" s="113" t="n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G29" sqref="G29"/>
    </sheetView>
  </sheetViews>
  <sheetFormatPr baseColWidth="10" defaultRowHeight="15"/>
  <cols>
    <col width="27" bestFit="1" customWidth="1" style="106" min="1" max="1"/>
    <col width="14.1640625" bestFit="1" customWidth="1" style="106" min="2" max="2"/>
    <col width="14.1640625" customWidth="1" style="106" min="3" max="3"/>
  </cols>
  <sheetData>
    <row r="1">
      <c r="A1" s="75" t="n"/>
      <c r="B1" s="88" t="inlineStr">
        <is>
          <t>去年同期累積</t>
        </is>
      </c>
      <c r="C1" s="88" t="inlineStr">
        <is>
          <t>今年累積</t>
        </is>
      </c>
      <c r="D1" s="107" t="inlineStr">
        <is>
          <t>年差異</t>
        </is>
      </c>
      <c r="E1" s="108" t="n"/>
    </row>
    <row r="2" s="106">
      <c r="A2" s="76" t="inlineStr">
        <is>
          <t>總營業額(a + c + e)</t>
        </is>
      </c>
      <c r="B2" s="77" t="n"/>
      <c r="C2" s="77" t="n"/>
      <c r="D2" s="77" t="n"/>
      <c r="E2" s="78" t="n"/>
    </row>
    <row r="3" s="106">
      <c r="A3" s="76" t="inlineStr">
        <is>
          <t>零售營業額(a)</t>
        </is>
      </c>
      <c r="B3" s="77" t="n"/>
      <c r="C3" s="77" t="n"/>
      <c r="D3" s="77" t="n"/>
      <c r="E3" s="78" t="n"/>
    </row>
    <row r="4" s="106">
      <c r="A4" s="76" t="inlineStr">
        <is>
          <t>訂單出貨金額(b)</t>
        </is>
      </c>
      <c r="B4" s="77" t="n"/>
      <c r="C4" s="77" t="n"/>
      <c r="D4" s="77" t="n"/>
      <c r="E4" s="78" t="n"/>
    </row>
    <row r="5" s="106">
      <c r="A5" s="76" t="inlineStr">
        <is>
          <t>當日零售營業收入(a + b)</t>
        </is>
      </c>
      <c r="B5" s="77" t="n"/>
      <c r="C5" s="77" t="n"/>
      <c r="D5" s="77" t="n"/>
      <c r="E5" s="78" t="n"/>
    </row>
    <row r="6" s="106">
      <c r="A6" s="76" t="inlineStr">
        <is>
          <t>零售訂金營業額(c)</t>
        </is>
      </c>
      <c r="B6" s="77" t="n"/>
      <c r="C6" s="77" t="n"/>
      <c r="D6" s="77" t="n"/>
      <c r="E6" s="78" t="n"/>
    </row>
    <row r="7" s="106">
      <c r="A7" s="76" t="inlineStr">
        <is>
          <t>零售專案營業額(d)</t>
        </is>
      </c>
      <c r="B7" s="0" t="n"/>
      <c r="C7" s="0" t="n"/>
      <c r="D7" s="0" t="n"/>
      <c r="E7" s="79" t="n"/>
    </row>
    <row r="8" s="106">
      <c r="A8" s="76" t="inlineStr">
        <is>
          <t>Apple 主機營業額</t>
        </is>
      </c>
      <c r="B8" s="77" t="n"/>
      <c r="C8" s="77" t="n"/>
      <c r="D8" s="77" t="n"/>
      <c r="E8" s="80" t="n"/>
    </row>
    <row r="9" s="106">
      <c r="A9" s="76" t="inlineStr">
        <is>
          <t>Apple 配件營業額</t>
        </is>
      </c>
      <c r="B9" s="77" t="n"/>
      <c r="C9" s="77" t="n"/>
      <c r="D9" s="77" t="n"/>
      <c r="E9" s="80" t="n"/>
    </row>
    <row r="10" s="106">
      <c r="A10" s="76" t="inlineStr">
        <is>
          <t>3PP配件營業額</t>
        </is>
      </c>
      <c r="B10" s="77" t="n"/>
      <c r="C10" s="77" t="n"/>
      <c r="D10" s="77" t="n"/>
      <c r="E10" s="78" t="n"/>
    </row>
    <row r="11" s="106">
      <c r="A11" s="81" t="inlineStr">
        <is>
          <t>3PP搭售率</t>
        </is>
      </c>
      <c r="B11" s="82" t="n"/>
      <c r="C11" s="82" t="n"/>
      <c r="D11" s="82" t="n"/>
      <c r="E11" s="83" t="n"/>
    </row>
    <row r="12" s="106">
      <c r="A12" s="76" t="inlineStr">
        <is>
          <t>保固營業額（AC+SA）</t>
        </is>
      </c>
      <c r="B12" s="77" t="n"/>
      <c r="C12" s="77" t="n"/>
      <c r="D12" s="77" t="n"/>
      <c r="E12" s="80" t="n"/>
    </row>
    <row r="13" s="106">
      <c r="A13" s="81" t="inlineStr">
        <is>
          <t>保固搭售率（AC+SA）</t>
        </is>
      </c>
      <c r="B13" s="82" t="n"/>
      <c r="C13" s="82" t="n"/>
      <c r="D13" s="82" t="n"/>
      <c r="E13" s="83" t="n"/>
    </row>
    <row r="14" s="106">
      <c r="A14" s="76" t="inlineStr">
        <is>
          <t>總毛利額</t>
        </is>
      </c>
      <c r="B14" s="77" t="n"/>
      <c r="C14" s="77" t="n"/>
      <c r="D14" s="77" t="n"/>
      <c r="E14" s="80" t="n"/>
    </row>
    <row r="15" s="106">
      <c r="A15" s="76" t="inlineStr">
        <is>
          <t>Apple 毛利額</t>
        </is>
      </c>
      <c r="B15" s="77" t="n"/>
      <c r="C15" s="77" t="n"/>
      <c r="D15" s="77" t="n"/>
      <c r="E15" s="80" t="n"/>
    </row>
    <row r="16" s="106">
      <c r="A16" s="76" t="inlineStr">
        <is>
          <t>3PP 毛利額</t>
        </is>
      </c>
      <c r="B16" s="77" t="n"/>
      <c r="C16" s="77" t="n"/>
      <c r="D16" s="77" t="n"/>
      <c r="E16" s="80" t="n"/>
    </row>
    <row r="17" s="106">
      <c r="A17" s="84" t="inlineStr">
        <is>
          <t>保固毛利額（AC+SA）</t>
        </is>
      </c>
      <c r="B17" s="74" t="n"/>
      <c r="C17" s="74" t="n"/>
      <c r="D17" s="74" t="n"/>
      <c r="E17" s="85" t="n"/>
    </row>
    <row r="18" s="106">
      <c r="A18" s="76" t="inlineStr">
        <is>
          <t>CPU 台數</t>
        </is>
      </c>
      <c r="B18" s="0" t="n"/>
      <c r="C18" s="0" t="n"/>
      <c r="D18" s="0" t="n"/>
      <c r="E18" s="80" t="n"/>
    </row>
    <row r="19" s="106">
      <c r="A19" s="76" t="inlineStr">
        <is>
          <t>保固 for CPU 套數（AC+SA）</t>
        </is>
      </c>
      <c r="B19" s="0" t="n"/>
      <c r="C19" s="0" t="n"/>
      <c r="D19" s="0" t="n"/>
      <c r="E19" s="80" t="n"/>
    </row>
    <row r="20" s="106">
      <c r="A20" s="81" t="inlineStr">
        <is>
          <t>保固 for CPU 搭售率（AC+SA）</t>
        </is>
      </c>
      <c r="B20" s="87" t="n"/>
      <c r="C20" s="87" t="n"/>
      <c r="D20" s="87" t="n"/>
      <c r="E20" s="86" t="n"/>
    </row>
    <row r="21" s="106">
      <c r="A21" s="76" t="inlineStr">
        <is>
          <t>iPad 台數</t>
        </is>
      </c>
      <c r="B21" s="0" t="n"/>
      <c r="C21" s="0" t="n"/>
      <c r="D21" s="0" t="n"/>
      <c r="E21" s="80" t="n"/>
    </row>
    <row r="22" s="106">
      <c r="A22" s="76" t="inlineStr">
        <is>
          <t>保固 for iPad 套數（AC+SA）</t>
        </is>
      </c>
      <c r="B22" s="0" t="n"/>
      <c r="C22" s="0" t="n"/>
      <c r="D22" s="0" t="n"/>
      <c r="E22" s="80" t="n"/>
    </row>
    <row r="23" s="106">
      <c r="A23" s="81" t="inlineStr">
        <is>
          <t>保固加總 iPad 搭售率（AC+SA）</t>
        </is>
      </c>
      <c r="B23" s="87" t="n"/>
      <c r="C23" s="87" t="n"/>
      <c r="D23" s="87" t="n"/>
      <c r="E23" s="83" t="n"/>
    </row>
    <row r="24" s="106">
      <c r="A24" s="76" t="inlineStr">
        <is>
          <t>iPhone 台數</t>
        </is>
      </c>
      <c r="B24" s="0" t="n"/>
      <c r="C24" s="0" t="n"/>
      <c r="D24" s="0" t="n"/>
      <c r="E24" s="80" t="n"/>
    </row>
    <row r="25" s="106">
      <c r="A25" s="76" t="inlineStr">
        <is>
          <t>保固 for iPhone 套數（AC+SA）</t>
        </is>
      </c>
      <c r="B25" s="0" t="n"/>
      <c r="C25" s="0" t="n"/>
      <c r="D25" s="0" t="n"/>
      <c r="E25" s="80" t="n"/>
    </row>
    <row r="26" s="106">
      <c r="A26" s="81" t="inlineStr">
        <is>
          <t>保固加總 iPhone 搭售率（AC+SA）</t>
        </is>
      </c>
      <c r="B26" s="87" t="n"/>
      <c r="C26" s="87" t="n"/>
      <c r="D26" s="87" t="n"/>
      <c r="E26" s="83" t="n"/>
    </row>
    <row r="27" s="106">
      <c r="A27" s="76" t="inlineStr">
        <is>
          <t>Watch 台數</t>
        </is>
      </c>
      <c r="B27" s="0" t="n"/>
      <c r="C27" s="0" t="n"/>
      <c r="D27" s="0" t="n"/>
      <c r="E27" s="80" t="n"/>
    </row>
    <row r="28" s="106">
      <c r="A28" s="76" t="inlineStr">
        <is>
          <t>保固 for Watch 套數（AC+SA）</t>
        </is>
      </c>
      <c r="B28" s="0" t="n"/>
      <c r="C28" s="0" t="n"/>
      <c r="D28" s="0" t="n"/>
      <c r="E28" s="80" t="n"/>
    </row>
    <row r="29" s="106">
      <c r="A29" s="81" t="inlineStr">
        <is>
          <t>保固加總 Watch 搭售率（AC+SA）</t>
        </is>
      </c>
      <c r="B29" s="87" t="n"/>
      <c r="C29" s="87" t="n"/>
      <c r="D29" s="87" t="n"/>
      <c r="E29" s="83" t="n"/>
    </row>
    <row r="30" s="106">
      <c r="A30" s="76" t="inlineStr">
        <is>
          <t>AirPods 台數</t>
        </is>
      </c>
      <c r="B30" s="0" t="n"/>
      <c r="C30" s="0" t="n"/>
      <c r="D30" s="0" t="n"/>
      <c r="E30" s="80" t="n"/>
    </row>
    <row r="31" s="106">
      <c r="A31" s="76" t="inlineStr">
        <is>
          <t>保固 for AirPods 套數（AC+SA）</t>
        </is>
      </c>
      <c r="B31" s="0" t="n"/>
      <c r="C31" s="0" t="n"/>
      <c r="D31" s="0" t="n"/>
      <c r="E31" s="80" t="n"/>
    </row>
    <row r="32" s="106">
      <c r="A32" s="81" t="inlineStr">
        <is>
          <t>保固加總 AirPods 搭售率（AC+SA）</t>
        </is>
      </c>
      <c r="B32" s="87" t="n"/>
      <c r="C32" s="87" t="n"/>
      <c r="D32" s="87" t="n"/>
      <c r="E32" s="83" t="n"/>
    </row>
    <row r="33" s="106">
      <c r="A33" s="76" t="inlineStr">
        <is>
          <t>人均產值</t>
        </is>
      </c>
      <c r="B33" s="77" t="n"/>
      <c r="C33" s="77" t="n"/>
      <c r="D33" s="77" t="n"/>
      <c r="E33" s="80" t="n"/>
    </row>
    <row r="34" s="106">
      <c r="A34" s="76" t="inlineStr">
        <is>
          <t>來客數</t>
        </is>
      </c>
      <c r="B34" s="77" t="n"/>
      <c r="C34" s="77" t="n"/>
      <c r="E34" s="80" t="n"/>
    </row>
    <row r="35" s="106">
      <c r="A35" s="84" t="inlineStr">
        <is>
          <t>成交筆數</t>
        </is>
      </c>
      <c r="B35" s="74" t="n"/>
      <c r="C35" s="74" t="n"/>
      <c r="D35" s="73" t="n"/>
      <c r="E35" s="85" t="n"/>
    </row>
    <row r="36" s="106">
      <c r="A36" s="0" t="inlineStr">
        <is>
          <t>提袋率</t>
        </is>
      </c>
      <c r="B36" s="71" t="n"/>
      <c r="C36" s="71" t="n"/>
    </row>
    <row r="37" s="106">
      <c r="A37" s="84" t="inlineStr">
        <is>
          <t>舊換新台數:</t>
        </is>
      </c>
      <c r="B37" s="74" t="n"/>
      <c r="C37" s="74" t="n"/>
      <c r="D37" s="73" t="n"/>
      <c r="E37" s="85" t="n"/>
    </row>
    <row r="38" s="106"/>
    <row r="39" s="106"/>
    <row r="40" s="106"/>
    <row r="41" s="106"/>
    <row r="42" s="106"/>
    <row r="43" s="106"/>
    <row r="44" s="106"/>
  </sheetData>
  <mergeCells count="1">
    <mergeCell ref="D1:E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I15" sqref="I15"/>
    </sheetView>
  </sheetViews>
  <sheetFormatPr baseColWidth="10" defaultRowHeight="15"/>
  <cols>
    <col width="14.1640625" bestFit="1" customWidth="1" style="72" min="1" max="1"/>
    <col width="29.1640625" bestFit="1" customWidth="1" style="106" min="2" max="2"/>
    <col width="20" customWidth="1" style="106" min="3" max="3"/>
    <col width="19.1640625" customWidth="1" style="106" min="4" max="4"/>
    <col width="16.83203125" customWidth="1" style="106" min="5" max="5"/>
    <col width="15.5" customWidth="1" style="106" min="6" max="6"/>
  </cols>
  <sheetData>
    <row r="1" ht="27" customHeight="1" s="106">
      <c r="A1" s="89" t="inlineStr">
        <is>
          <t>類別4代碼</t>
        </is>
      </c>
      <c r="B1" s="90" t="inlineStr">
        <is>
          <t>類別4名稱</t>
        </is>
      </c>
      <c r="C1" s="91" t="inlineStr">
        <is>
          <t>去年度累積</t>
        </is>
      </c>
      <c r="D1" s="91" t="inlineStr">
        <is>
          <t>今年度累積</t>
        </is>
      </c>
      <c r="E1" s="92" t="inlineStr">
        <is>
          <t>差異金額</t>
        </is>
      </c>
      <c r="F1" s="92" t="inlineStr">
        <is>
          <t>差異比例</t>
        </is>
      </c>
    </row>
    <row r="2" ht="27" customHeight="1" s="106">
      <c r="A2" s="89" t="n">
        <v>4007</v>
      </c>
      <c r="B2" s="90" t="inlineStr">
        <is>
          <t>CPU週邊配件</t>
        </is>
      </c>
      <c r="C2" s="93" t="n"/>
      <c r="D2" s="93" t="n"/>
      <c r="E2" s="93" t="n">
        <v>-24543</v>
      </c>
      <c r="F2" s="94" t="n">
        <v>-0.12</v>
      </c>
    </row>
    <row r="3" ht="27" customHeight="1" s="106">
      <c r="A3" s="89" t="n">
        <v>4009</v>
      </c>
      <c r="B3" s="90" t="inlineStr">
        <is>
          <t>iPhone週邊配件</t>
        </is>
      </c>
      <c r="C3" s="93" t="n"/>
      <c r="D3" s="93" t="n"/>
      <c r="E3" s="93" t="n">
        <v>566025</v>
      </c>
      <c r="F3" s="94" t="n">
        <v>0.59</v>
      </c>
    </row>
    <row r="4" ht="27" customHeight="1" s="106">
      <c r="A4" s="89" t="n">
        <v>4010</v>
      </c>
      <c r="B4" s="90" t="inlineStr">
        <is>
          <t>iPad週邊配件</t>
        </is>
      </c>
      <c r="C4" s="93" t="n"/>
      <c r="D4" s="93" t="n"/>
      <c r="E4" s="93" t="n">
        <v>264942</v>
      </c>
      <c r="F4" s="94" t="n">
        <v>0.41</v>
      </c>
    </row>
    <row r="5" ht="27" customHeight="1" s="106">
      <c r="A5" s="89" t="n">
        <v>4012</v>
      </c>
      <c r="B5" s="90" t="inlineStr">
        <is>
          <t>CPU/iOS通用週邊配件</t>
        </is>
      </c>
      <c r="C5" s="93" t="n"/>
      <c r="D5" s="93" t="n"/>
      <c r="E5" s="93" t="n">
        <v>95220</v>
      </c>
      <c r="F5" s="94" t="n">
        <v>0.15</v>
      </c>
    </row>
    <row r="6" ht="27" customHeight="1" s="106">
      <c r="A6" s="89" t="n">
        <v>4013</v>
      </c>
      <c r="B6" s="90" t="inlineStr">
        <is>
          <t>Speakers</t>
        </is>
      </c>
      <c r="C6" s="93" t="n"/>
      <c r="D6" s="93" t="n"/>
      <c r="E6" s="93" t="n">
        <v>401945</v>
      </c>
      <c r="F6" s="94" t="n">
        <v>9.289999999999999</v>
      </c>
    </row>
    <row r="7" ht="27" customHeight="1" s="106">
      <c r="A7" s="89" t="n">
        <v>4014</v>
      </c>
      <c r="B7" s="90" t="inlineStr">
        <is>
          <t>耳機</t>
        </is>
      </c>
      <c r="C7" s="93" t="n"/>
      <c r="D7" s="93" t="n"/>
      <c r="E7" s="93" t="n">
        <v>68508</v>
      </c>
      <c r="F7" s="94" t="n">
        <v>7.25</v>
      </c>
    </row>
    <row r="8" ht="27" customHeight="1" s="106">
      <c r="A8" s="89" t="n">
        <v>4017</v>
      </c>
      <c r="B8" s="90" t="inlineStr">
        <is>
          <t>其他週邊配件</t>
        </is>
      </c>
      <c r="C8" s="90" t="n"/>
      <c r="D8" s="93" t="n"/>
      <c r="E8" s="93" t="n">
        <v>1125</v>
      </c>
      <c r="F8" s="90" t="n"/>
    </row>
    <row r="9" ht="27" customHeight="1" s="106">
      <c r="A9" s="89" t="n">
        <v>4021</v>
      </c>
      <c r="B9" s="90" t="inlineStr">
        <is>
          <t>其他收入</t>
        </is>
      </c>
      <c r="C9" s="90" t="n"/>
      <c r="D9" s="90" t="n"/>
      <c r="E9" s="90" t="n">
        <v>-500</v>
      </c>
      <c r="F9" s="94" t="n">
        <v>-1</v>
      </c>
    </row>
    <row r="10" ht="27" customHeight="1" s="106">
      <c r="A10" s="89" t="n">
        <v>4022</v>
      </c>
      <c r="B10" s="90" t="inlineStr">
        <is>
          <t>iOS通用週邊配件</t>
        </is>
      </c>
      <c r="C10" s="93" t="n"/>
      <c r="D10" s="93" t="n"/>
      <c r="E10" s="93" t="n">
        <v>44602</v>
      </c>
      <c r="F10" s="94" t="n">
        <v>0.42</v>
      </c>
    </row>
    <row r="11" ht="27" customHeight="1" s="106">
      <c r="A11" s="89" t="n">
        <v>4026</v>
      </c>
      <c r="B11" s="90" t="inlineStr">
        <is>
          <t>SmartA週邊產品</t>
        </is>
      </c>
      <c r="C11" s="93" t="n"/>
      <c r="D11" s="93" t="n"/>
      <c r="E11" s="93" t="n">
        <v>5980</v>
      </c>
      <c r="F11" s="94" t="n">
        <v>0.67</v>
      </c>
    </row>
    <row r="12" ht="27" customHeight="1" s="106">
      <c r="A12" s="89" t="n">
        <v>4039</v>
      </c>
      <c r="B12" s="90" t="inlineStr">
        <is>
          <t>Apple Watch 週邊配件</t>
        </is>
      </c>
      <c r="C12" s="93" t="n"/>
      <c r="D12" s="93" t="n"/>
      <c r="E12" s="93" t="n">
        <v>-2703</v>
      </c>
      <c r="F12" s="94" t="n">
        <v>-0.01</v>
      </c>
    </row>
    <row r="13" ht="27" customHeight="1" s="106">
      <c r="A13" s="89" t="n">
        <v>4050</v>
      </c>
      <c r="B13" s="90" t="inlineStr">
        <is>
          <t>上網卡</t>
        </is>
      </c>
      <c r="C13" s="93" t="n"/>
      <c r="D13" s="93" t="n"/>
      <c r="E13" s="93" t="n">
        <v>-3246</v>
      </c>
      <c r="F13" s="94" t="n">
        <v>-0.43</v>
      </c>
    </row>
    <row r="14" ht="27" customHeight="1" s="106">
      <c r="A14" s="89" t="n">
        <v>4053</v>
      </c>
      <c r="B14" s="90" t="inlineStr">
        <is>
          <t>生活用品</t>
        </is>
      </c>
      <c r="C14" s="90" t="n"/>
      <c r="D14" s="90" t="n"/>
      <c r="E14" s="90" t="n">
        <v>575</v>
      </c>
      <c r="F14" s="90" t="n"/>
    </row>
    <row r="15" ht="27" customHeight="1" s="106">
      <c r="A15" s="89" t="n">
        <v>4069</v>
      </c>
      <c r="B15" s="90" t="inlineStr">
        <is>
          <t>AirPods週邊配件</t>
        </is>
      </c>
      <c r="C15" s="93" t="n"/>
      <c r="D15" s="93" t="n"/>
      <c r="E15" s="93" t="n">
        <v>-14452</v>
      </c>
      <c r="F15" s="94" t="n">
        <v>-0.09</v>
      </c>
    </row>
    <row r="16" ht="27" customHeight="1" s="106">
      <c r="A16" s="89" t="n">
        <v>4040</v>
      </c>
      <c r="B16" s="90" t="inlineStr">
        <is>
          <t>SA CARE</t>
        </is>
      </c>
      <c r="C16" s="93" t="n"/>
      <c r="D16" s="93" t="n"/>
      <c r="E16" s="93" t="n">
        <v>16101</v>
      </c>
      <c r="F16" s="94" t="n">
        <v>0.01</v>
      </c>
    </row>
    <row r="17" ht="27" customHeight="1" s="106">
      <c r="A17" s="95" t="n"/>
      <c r="B17" s="96" t="inlineStr">
        <is>
          <t>加總</t>
        </is>
      </c>
      <c r="C17" s="97" t="n"/>
      <c r="D17" s="97" t="n"/>
      <c r="E17" s="97" t="n">
        <v>1419579</v>
      </c>
      <c r="F17" s="98" t="n">
        <v>0.29</v>
      </c>
    </row>
    <row r="18" ht="27" customHeight="1" s="106">
      <c r="A18" s="95" t="n"/>
      <c r="B18" s="96" t="inlineStr">
        <is>
          <t>純配件</t>
        </is>
      </c>
      <c r="C18" s="97" t="n"/>
      <c r="D18" s="97" t="n"/>
      <c r="E18" s="97" t="n">
        <v>1403478</v>
      </c>
      <c r="F18" s="99" t="n">
        <v>0.464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</dc:creator>
  <dcterms:created xsi:type="dcterms:W3CDTF">2026-04-12T06:32:13Z</dcterms:created>
  <dcterms:modified xsi:type="dcterms:W3CDTF">2026-10-25T12:49:22Z</dcterms:modified>
  <cp:lastModifiedBy>SA</cp:lastModifiedBy>
</cp:coreProperties>
</file>