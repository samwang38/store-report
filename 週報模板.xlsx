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7" autoFilterDateGrouping="1"/>
  </bookViews>
  <sheets>
    <sheet xmlns:r="http://schemas.openxmlformats.org/officeDocument/2006/relationships" name="設定" sheetId="1" state="visible" r:id="rId1"/>
    <sheet xmlns:r="http://schemas.openxmlformats.org/officeDocument/2006/relationships" name="1.主機銷售台數" sheetId="2" state="visible" r:id="rId2"/>
    <sheet xmlns:r="http://schemas.openxmlformats.org/officeDocument/2006/relationships" name="2.門市週報 " sheetId="3" state="visible" r:id="rId3"/>
    <sheet xmlns:r="http://schemas.openxmlformats.org/officeDocument/2006/relationships" name="3.3PP配件比較" sheetId="4" state="visible" r:id="rId4"/>
    <sheet xmlns:r="http://schemas.openxmlformats.org/officeDocument/2006/relationships" name="4.3PP 銷售排名" sheetId="5" state="visible" r:id="rId5"/>
    <sheet xmlns:r="http://schemas.openxmlformats.org/officeDocument/2006/relationships" name="5.VAP銷售排名" sheetId="6" state="visible" r:id="rId6"/>
    <sheet xmlns:r="http://schemas.openxmlformats.org/officeDocument/2006/relationships" name="6.搭售統計_週" sheetId="7" state="visible" r:id="rId7"/>
    <sheet xmlns:r="http://schemas.openxmlformats.org/officeDocument/2006/relationships" name="7.搭售統計_月" sheetId="8" state="visible" r:id="rId8"/>
    <sheet xmlns:r="http://schemas.openxmlformats.org/officeDocument/2006/relationships" name="8.個人新制獎金" sheetId="9" state="visible" r:id="rId9"/>
    <sheet xmlns:r="http://schemas.openxmlformats.org/officeDocument/2006/relationships" name="9.個人週主機" sheetId="10" state="visible" r:id="rId10"/>
    <sheet xmlns:r="http://schemas.openxmlformats.org/officeDocument/2006/relationships" name="10.個人月主機" sheetId="11" state="visible" r:id="rId11"/>
    <sheet xmlns:r="http://schemas.openxmlformats.org/officeDocument/2006/relationships" name="11.個人月3PP" sheetId="12" state="visible" r:id="rId12"/>
    <sheet xmlns:r="http://schemas.openxmlformats.org/officeDocument/2006/relationships" name="12.月報YOY" sheetId="13" state="visible" r:id="rId13"/>
    <sheet xmlns:r="http://schemas.openxmlformats.org/officeDocument/2006/relationships" name="13.3PP YOY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27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</fonts>
  <fills count="33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56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106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106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106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106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106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106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106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10" t="n"/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106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10" t="n"/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106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10" t="n"/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106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10" t="n"/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106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10" t="n"/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106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10" t="n"/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106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/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106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10" t="n"/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106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/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106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10" t="n"/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106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10" t="n"/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106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10" t="n"/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106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10" t="n"/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106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10" t="n"/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106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10" t="n"/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106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10" t="n"/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106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10" t="n"/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106">
      <c r="A19" s="27" t="inlineStr">
        <is>
          <t>ACPP-MAC 搭售率</t>
        </is>
      </c>
      <c r="B19" s="111" t="n"/>
      <c r="C19" s="112" t="n">
        <v>0</v>
      </c>
      <c r="D19" s="36" t="n"/>
      <c r="E19" s="36" t="n"/>
      <c r="F19" s="33" t="n">
        <v>0</v>
      </c>
      <c r="G19" s="34" t="n"/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106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10" t="n"/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106">
      <c r="A21" s="27" t="inlineStr">
        <is>
          <t>SA Care for CPU 搭售率</t>
        </is>
      </c>
      <c r="B21" s="111" t="n"/>
      <c r="C21" s="112" t="n">
        <v>0.5</v>
      </c>
      <c r="D21" s="36" t="n"/>
      <c r="E21" s="36" t="n"/>
      <c r="F21" s="33" t="n">
        <v>0.5</v>
      </c>
      <c r="G21" s="34" t="n"/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106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10" t="n"/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106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10" t="n"/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106">
      <c r="A24" s="27" t="inlineStr">
        <is>
          <t>SA Care for iPad 搭售率</t>
        </is>
      </c>
      <c r="B24" s="111" t="n">
        <v>0.6153999999999999</v>
      </c>
      <c r="C24" s="111" t="n">
        <v>0.9</v>
      </c>
      <c r="D24" s="111" t="n">
        <v>0.1961</v>
      </c>
      <c r="E24" s="34" t="n">
        <v>0.59</v>
      </c>
      <c r="F24" s="33" t="n">
        <v>0.7391</v>
      </c>
      <c r="G24" s="34" t="n"/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106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10" t="n"/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106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10" t="n"/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106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/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106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10" t="n"/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106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10" t="n"/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106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/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106">
      <c r="A31" s="20" t="inlineStr">
        <is>
          <t>人均產值</t>
        </is>
      </c>
      <c r="B31" s="100" t="n"/>
      <c r="C31" s="100" t="n"/>
      <c r="D31" s="101" t="n">
        <v>100000</v>
      </c>
      <c r="E31" s="31" t="n">
        <v>0.18</v>
      </c>
      <c r="F31" s="100" t="n"/>
      <c r="G31" s="32" t="n"/>
      <c r="H31" s="31" t="n">
        <v>0</v>
      </c>
      <c r="I31" s="100" t="n"/>
      <c r="J31" s="101" t="n">
        <v>-800000</v>
      </c>
      <c r="K31" s="31" t="n">
        <v>-0.32</v>
      </c>
      <c r="L31" s="100" t="n"/>
      <c r="M31" s="101" t="n">
        <v>300000</v>
      </c>
      <c r="N31" s="31" t="n">
        <v>0.23</v>
      </c>
    </row>
    <row r="32" ht="34" customHeight="1" s="106">
      <c r="A32" s="20" t="inlineStr">
        <is>
          <t>來客數</t>
        </is>
      </c>
      <c r="B32" s="100" t="n"/>
      <c r="C32" s="100" t="n"/>
      <c r="D32" s="101" t="n">
        <v>-200</v>
      </c>
      <c r="E32" s="31" t="n">
        <v>-0.14</v>
      </c>
      <c r="F32" s="100" t="n"/>
      <c r="G32" s="30" t="n">
        <v>0</v>
      </c>
      <c r="H32" s="31" t="n">
        <v>0</v>
      </c>
      <c r="I32" s="29" t="n"/>
      <c r="J32" s="101" t="n">
        <v>-500</v>
      </c>
      <c r="K32" s="31" t="n">
        <v>-0.08</v>
      </c>
      <c r="L32" s="100" t="n"/>
      <c r="M32" s="101" t="n">
        <v>-900</v>
      </c>
      <c r="N32" s="31" t="n">
        <v>-0.13</v>
      </c>
    </row>
    <row r="33" ht="34" customHeight="1" s="106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106">
      <c r="A34" s="28" t="inlineStr">
        <is>
          <t>提袋率</t>
        </is>
      </c>
      <c r="B34" s="37" t="n">
        <v>0.14</v>
      </c>
      <c r="C34" s="37" t="n">
        <v>0.16</v>
      </c>
      <c r="D34" s="30" t="n">
        <v>0</v>
      </c>
      <c r="E34" s="31" t="n">
        <v>0</v>
      </c>
      <c r="F34" s="37" t="n">
        <v>0.18</v>
      </c>
      <c r="G34" s="30" t="n">
        <v>0</v>
      </c>
      <c r="H34" s="31" t="n">
        <v>0</v>
      </c>
      <c r="I34" s="37" t="n">
        <v>0.18</v>
      </c>
      <c r="J34" s="30" t="n">
        <v>0</v>
      </c>
      <c r="K34" s="31" t="n">
        <v>0</v>
      </c>
      <c r="L34" s="37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>
      <c r="A2" s="76" t="inlineStr">
        <is>
          <t>總營業額</t>
        </is>
      </c>
      <c r="B2" s="77" t="n">
        <v>37865386</v>
      </c>
      <c r="C2" s="77" t="n">
        <v>44763710</v>
      </c>
      <c r="D2" s="77" t="n">
        <v>6898324</v>
      </c>
      <c r="E2" s="78" t="n">
        <v>0.182</v>
      </c>
    </row>
    <row r="3">
      <c r="A3" s="76" t="inlineStr">
        <is>
          <t>零售營業額</t>
        </is>
      </c>
      <c r="B3" s="77" t="n">
        <v>37865386</v>
      </c>
      <c r="C3" s="77" t="n">
        <v>44763710</v>
      </c>
      <c r="D3" s="77" t="n">
        <v>6898324</v>
      </c>
      <c r="E3" s="78" t="n">
        <v>0.182</v>
      </c>
    </row>
    <row r="4">
      <c r="A4" s="76" t="inlineStr">
        <is>
          <t>專案營業額</t>
        </is>
      </c>
      <c r="B4" s="0" t="n"/>
      <c r="C4" s="0" t="n"/>
      <c r="D4" s="0" t="n">
        <v>0</v>
      </c>
      <c r="E4" s="79" t="n"/>
    </row>
    <row r="5">
      <c r="A5" s="76" t="inlineStr">
        <is>
          <t>Apple 主機營業額</t>
        </is>
      </c>
      <c r="B5" s="77" t="n">
        <v>28454402</v>
      </c>
      <c r="C5" s="77" t="n">
        <v>35187994</v>
      </c>
      <c r="D5" s="77" t="n">
        <v>6733592</v>
      </c>
      <c r="E5" s="80" t="n">
        <v>0.24</v>
      </c>
    </row>
    <row r="6">
      <c r="A6" s="76" t="inlineStr">
        <is>
          <t>Apple 配件營業額</t>
        </is>
      </c>
      <c r="B6" s="77" t="n">
        <v>4953169</v>
      </c>
      <c r="C6" s="77" t="n">
        <v>4304081</v>
      </c>
      <c r="D6" s="77" t="n">
        <v>-649088</v>
      </c>
      <c r="E6" s="80" t="n">
        <v>-0.13</v>
      </c>
    </row>
    <row r="7">
      <c r="A7" s="76" t="inlineStr">
        <is>
          <t>3PP配件營業額</t>
        </is>
      </c>
      <c r="B7" s="77" t="n">
        <v>3025452</v>
      </c>
      <c r="C7" s="77" t="n">
        <v>4428930</v>
      </c>
      <c r="D7" s="77" t="n">
        <v>1403478</v>
      </c>
      <c r="E7" s="78" t="n">
        <v>0.464</v>
      </c>
    </row>
    <row r="8">
      <c r="A8" s="81" t="inlineStr">
        <is>
          <t>3PP搭售率</t>
        </is>
      </c>
      <c r="B8" s="82" t="n">
        <v>0.08</v>
      </c>
      <c r="C8" s="82" t="n">
        <v>0.099</v>
      </c>
      <c r="D8" s="82" t="n">
        <v>0.019</v>
      </c>
      <c r="E8" s="83" t="n">
        <v>0.24</v>
      </c>
    </row>
    <row r="9">
      <c r="A9" s="76" t="inlineStr">
        <is>
          <t>SA Care 營業額</t>
        </is>
      </c>
      <c r="B9" s="77" t="n">
        <v>1806179</v>
      </c>
      <c r="C9" s="77" t="n">
        <v>1814090</v>
      </c>
      <c r="D9" s="77" t="n">
        <v>7911</v>
      </c>
      <c r="E9" s="80" t="n">
        <v>0</v>
      </c>
    </row>
    <row r="10">
      <c r="A10" s="81" t="inlineStr">
        <is>
          <t>SA Care 搭售率</t>
        </is>
      </c>
      <c r="B10" s="82" t="n">
        <v>0.048</v>
      </c>
      <c r="C10" s="82" t="n">
        <v>0.041</v>
      </c>
      <c r="D10" s="82" t="n">
        <v>-0.0072</v>
      </c>
      <c r="E10" s="83" t="n">
        <v>-0.15</v>
      </c>
    </row>
    <row r="11">
      <c r="A11" s="76" t="inlineStr">
        <is>
          <t>總毛利額</t>
        </is>
      </c>
      <c r="B11" s="77" t="n">
        <v>4774129</v>
      </c>
      <c r="C11" s="77" t="n">
        <v>6155554</v>
      </c>
      <c r="D11" s="77" t="n">
        <v>1381425</v>
      </c>
      <c r="E11" s="80" t="n">
        <v>0.29</v>
      </c>
    </row>
    <row r="12">
      <c r="A12" s="76" t="inlineStr">
        <is>
          <t>Apple 毛利額</t>
        </is>
      </c>
      <c r="B12" s="77" t="n">
        <v>2732116</v>
      </c>
      <c r="C12" s="77" t="n">
        <v>3119165</v>
      </c>
      <c r="D12" s="77" t="n">
        <v>387049</v>
      </c>
      <c r="E12" s="80" t="n">
        <v>0.14</v>
      </c>
    </row>
    <row r="13">
      <c r="A13" s="76" t="inlineStr">
        <is>
          <t>3PP 毛利額</t>
        </is>
      </c>
      <c r="B13" s="77" t="n">
        <v>1138923</v>
      </c>
      <c r="C13" s="77" t="n">
        <v>2129344</v>
      </c>
      <c r="D13" s="77" t="n">
        <v>990421</v>
      </c>
      <c r="E13" s="80" t="n">
        <v>0.87</v>
      </c>
    </row>
    <row r="14">
      <c r="A14" s="84" t="inlineStr">
        <is>
          <t>SA Care 毛利額</t>
        </is>
      </c>
      <c r="B14" s="74" t="n">
        <v>903090</v>
      </c>
      <c r="C14" s="74" t="n">
        <v>907045</v>
      </c>
      <c r="D14" s="74" t="n">
        <v>3955</v>
      </c>
      <c r="E14" s="85" t="n">
        <v>0</v>
      </c>
    </row>
    <row r="15">
      <c r="A15" s="76" t="inlineStr">
        <is>
          <t>CPU 台數（不含Mac mini）</t>
        </is>
      </c>
      <c r="B15" s="0" t="n">
        <v>76</v>
      </c>
      <c r="C15" s="0" t="n">
        <v>72</v>
      </c>
      <c r="D15" s="0" t="n">
        <v>-4</v>
      </c>
      <c r="E15" s="80" t="n">
        <v>-0.05</v>
      </c>
    </row>
    <row r="16">
      <c r="A16" s="76" t="inlineStr">
        <is>
          <t>Mac mini 台數</t>
        </is>
      </c>
      <c r="B16" s="0" t="n">
        <v>15</v>
      </c>
      <c r="C16" s="0" t="n">
        <v>14</v>
      </c>
      <c r="D16" s="0" t="n">
        <v>-1</v>
      </c>
      <c r="E16" s="80" t="n">
        <v>-0.07000000000000001</v>
      </c>
    </row>
    <row r="17">
      <c r="A17" s="76" t="inlineStr">
        <is>
          <t>CPU 總台數</t>
        </is>
      </c>
      <c r="B17" s="0" t="n">
        <v>91</v>
      </c>
      <c r="C17" s="0" t="n">
        <v>86</v>
      </c>
      <c r="D17" s="0" t="n">
        <v>-5</v>
      </c>
      <c r="E17" s="80" t="n">
        <v>-0.05</v>
      </c>
    </row>
    <row r="18">
      <c r="A18" s="76" t="inlineStr">
        <is>
          <t>ACPP-MAC 套數</t>
        </is>
      </c>
      <c r="B18" s="0" t="n">
        <v>8</v>
      </c>
      <c r="C18" s="0" t="n">
        <v>5</v>
      </c>
      <c r="D18" s="0" t="n">
        <v>-3</v>
      </c>
      <c r="E18" s="80" t="n">
        <v>-0.38</v>
      </c>
    </row>
    <row r="19">
      <c r="A19" s="81" t="inlineStr">
        <is>
          <t>ACPP-MAC 搭售率</t>
        </is>
      </c>
      <c r="B19" s="82" t="n">
        <v>0.09</v>
      </c>
      <c r="C19" s="82" t="n">
        <v>0.058</v>
      </c>
      <c r="D19" s="82" t="n">
        <v>-0.032</v>
      </c>
      <c r="E19" s="86" t="n">
        <v>-0.3556</v>
      </c>
    </row>
    <row r="20">
      <c r="A20" s="76" t="inlineStr">
        <is>
          <t>SA Care for CPU 套數</t>
        </is>
      </c>
      <c r="B20" s="0" t="n">
        <v>42</v>
      </c>
      <c r="C20" s="0" t="n">
        <v>32</v>
      </c>
      <c r="D20" s="0" t="n">
        <v>-10</v>
      </c>
      <c r="E20" s="80" t="n">
        <v>-0.24</v>
      </c>
    </row>
    <row r="21">
      <c r="A21" s="81" t="inlineStr">
        <is>
          <t>SA Care for CPU 搭售率</t>
        </is>
      </c>
      <c r="B21" s="82" t="n">
        <v>0.46</v>
      </c>
      <c r="C21" s="82" t="n">
        <v>0.372</v>
      </c>
      <c r="D21" s="82" t="n">
        <v>-0.08799999999999999</v>
      </c>
      <c r="E21" s="86" t="n">
        <v>-0.1913</v>
      </c>
    </row>
    <row r="22">
      <c r="A22" s="76" t="inlineStr">
        <is>
          <t>iPad 台數</t>
        </is>
      </c>
      <c r="B22" s="0" t="n">
        <v>232</v>
      </c>
      <c r="C22" s="0" t="n">
        <v>250</v>
      </c>
      <c r="D22" s="0" t="n">
        <v>18</v>
      </c>
      <c r="E22" s="80" t="n">
        <v>0.08</v>
      </c>
    </row>
    <row r="23">
      <c r="A23" s="76" t="inlineStr">
        <is>
          <t>SA Care for iPad 套數</t>
        </is>
      </c>
      <c r="B23" s="0" t="n">
        <v>120</v>
      </c>
      <c r="C23" s="0" t="n">
        <v>132</v>
      </c>
      <c r="D23" s="0" t="n">
        <v>12</v>
      </c>
      <c r="E23" s="80" t="n">
        <v>0.1</v>
      </c>
    </row>
    <row r="24">
      <c r="A24" s="81" t="inlineStr">
        <is>
          <t>SA Care for iPad 搭售率</t>
        </is>
      </c>
      <c r="B24" s="82" t="n">
        <v>0.52</v>
      </c>
      <c r="C24" s="82" t="n">
        <v>0.528</v>
      </c>
      <c r="D24" s="87" t="n">
        <v>0.01</v>
      </c>
      <c r="E24" s="83" t="n">
        <v>0.02</v>
      </c>
    </row>
    <row r="25">
      <c r="A25" s="76" t="inlineStr">
        <is>
          <t>iPhone 台數</t>
        </is>
      </c>
      <c r="B25" s="0" t="n">
        <v>452</v>
      </c>
      <c r="C25" s="0" t="n">
        <v>646</v>
      </c>
      <c r="D25" s="0" t="n">
        <v>194</v>
      </c>
      <c r="E25" s="80" t="n">
        <v>0.43</v>
      </c>
    </row>
    <row r="26">
      <c r="A26" s="76" t="inlineStr">
        <is>
          <t>SA Care for iPhone 套數</t>
        </is>
      </c>
      <c r="B26" s="0" t="n">
        <v>162</v>
      </c>
      <c r="C26" s="0" t="n">
        <v>175</v>
      </c>
      <c r="D26" s="0" t="n">
        <v>13</v>
      </c>
      <c r="E26" s="80" t="n">
        <v>0.08</v>
      </c>
    </row>
    <row r="27">
      <c r="A27" s="81" t="inlineStr">
        <is>
          <t>SA Care for iPhone 搭售率</t>
        </is>
      </c>
      <c r="B27" s="87" t="n">
        <v>0.36</v>
      </c>
      <c r="C27" s="82" t="n">
        <v>0.2709</v>
      </c>
      <c r="D27" s="87" t="n">
        <v>-0.09</v>
      </c>
      <c r="E27" s="83" t="n">
        <v>-0.25</v>
      </c>
    </row>
    <row r="28">
      <c r="A28" s="76" t="inlineStr">
        <is>
          <t>Watch 台數</t>
        </is>
      </c>
      <c r="B28" s="0" t="n">
        <v>199</v>
      </c>
      <c r="C28" s="0" t="n">
        <v>211</v>
      </c>
      <c r="D28" s="0" t="n">
        <v>12</v>
      </c>
      <c r="E28" s="80" t="n">
        <v>0.06</v>
      </c>
    </row>
    <row r="29">
      <c r="A29" s="76" t="inlineStr">
        <is>
          <t>SA Care for Watch 套數</t>
        </is>
      </c>
      <c r="B29" s="0" t="n">
        <v>84</v>
      </c>
      <c r="C29" s="0" t="n">
        <v>92</v>
      </c>
      <c r="D29" s="0" t="n">
        <v>8</v>
      </c>
      <c r="E29" s="80" t="n">
        <v>0.1</v>
      </c>
    </row>
    <row r="30">
      <c r="A30" s="81" t="inlineStr">
        <is>
          <t>SA Care for Watch 搭售率</t>
        </is>
      </c>
      <c r="B30" s="87" t="n">
        <v>0.42</v>
      </c>
      <c r="C30" s="87" t="n">
        <v>0.44</v>
      </c>
      <c r="D30" s="87" t="n">
        <v>0.02</v>
      </c>
      <c r="E30" s="83" t="n">
        <v>0.04</v>
      </c>
    </row>
    <row r="31">
      <c r="A31" s="76" t="inlineStr">
        <is>
          <t>人均產值</t>
        </is>
      </c>
      <c r="B31" s="77" t="n"/>
      <c r="C31" s="77" t="n"/>
      <c r="D31" s="77" t="n"/>
      <c r="E31" s="80" t="n"/>
    </row>
    <row r="32">
      <c r="A32" s="76" t="inlineStr">
        <is>
          <t>來客數</t>
        </is>
      </c>
      <c r="B32" s="77" t="n"/>
      <c r="C32" s="77" t="n"/>
      <c r="E32" s="80" t="n"/>
    </row>
    <row r="33">
      <c r="A33" s="84" t="inlineStr">
        <is>
          <t>成交筆數</t>
        </is>
      </c>
      <c r="B33" s="74" t="n"/>
      <c r="C33" s="74" t="n"/>
      <c r="D33" s="73" t="n"/>
      <c r="E33" s="85" t="n"/>
    </row>
    <row r="34">
      <c r="B34" s="71" t="n"/>
      <c r="C34" s="71" t="n"/>
    </row>
  </sheetData>
  <mergeCells count="1">
    <mergeCell ref="D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</dc:creator>
  <dcterms:created xmlns:dcterms="http://purl.org/dc/terms/" xmlns:xsi="http://www.w3.org/2001/XMLSchema-instance" xsi:type="dcterms:W3CDTF">2026-04-12T06:32:13Z</dcterms:created>
  <dcterms:modified xmlns:dcterms="http://purl.org/dc/terms/" xmlns:xsi="http://www.w3.org/2001/XMLSchema-instance" xsi:type="dcterms:W3CDTF">2026-06-12T19:38:30Z</dcterms:modified>
  <cp:lastModifiedBy>SA</cp:lastModifiedBy>
</cp:coreProperties>
</file>